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eef40715dac7e573/Documents/Projects/Excel_Projects/"/>
    </mc:Choice>
  </mc:AlternateContent>
  <xr:revisionPtr revIDLastSave="1520" documentId="8_{5B95C6C7-7781-418D-B125-05110AE645A0}" xr6:coauthVersionLast="47" xr6:coauthVersionMax="47" xr10:uidLastSave="{726C1A51-2F9D-4488-953E-8280EBEF190B}"/>
  <bookViews>
    <workbookView xWindow="11424" yWindow="0" windowWidth="11712" windowHeight="13776" xr2:uid="{F3899F63-5D1D-41FF-905A-CAB89DE4C482}"/>
  </bookViews>
  <sheets>
    <sheet name="Student " sheetId="1" r:id="rId1"/>
    <sheet name="Dashboard" sheetId="4" r:id="rId2"/>
  </sheets>
  <definedNames>
    <definedName name="Slicer_Class">#N/A</definedName>
    <definedName name="Slicer_Frist_Name">#N/A</definedName>
    <definedName name="Slicer_Gender">#N/A</definedName>
    <definedName name="Slicer_Result">#N/A</definedName>
    <definedName name="Slicer_Section">#N/A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Q43" i="1" l="1"/>
  <c r="AR97" i="1"/>
  <c r="AR98" i="1"/>
  <c r="AS117" i="1"/>
  <c r="AS131" i="1"/>
  <c r="AS132" i="1"/>
  <c r="AS236" i="1"/>
  <c r="AS231" i="1"/>
  <c r="AS227" i="1"/>
  <c r="AM3" i="1"/>
  <c r="AM4" i="1"/>
  <c r="AM5" i="1"/>
  <c r="AM6" i="1"/>
  <c r="AM7" i="1"/>
  <c r="AM8" i="1"/>
  <c r="AM9" i="1"/>
  <c r="AM10" i="1"/>
  <c r="AM11" i="1"/>
  <c r="AM12" i="1"/>
  <c r="AM13" i="1"/>
  <c r="AM14" i="1"/>
  <c r="AM15" i="1"/>
  <c r="AM16" i="1"/>
  <c r="AM17" i="1"/>
  <c r="AM18" i="1"/>
  <c r="AM19" i="1"/>
  <c r="AM20" i="1"/>
  <c r="AM21" i="1"/>
  <c r="AM22" i="1"/>
  <c r="AM23" i="1"/>
  <c r="AM24" i="1"/>
  <c r="AM25" i="1"/>
  <c r="AM26" i="1"/>
  <c r="AM27" i="1"/>
  <c r="AM28" i="1"/>
  <c r="AM29" i="1"/>
  <c r="AM30" i="1"/>
  <c r="AM31" i="1"/>
  <c r="AM32" i="1"/>
  <c r="AM33" i="1"/>
  <c r="AM34" i="1"/>
  <c r="AM35" i="1"/>
  <c r="AM36" i="1"/>
  <c r="AM37" i="1"/>
  <c r="AM38" i="1"/>
  <c r="AM39" i="1"/>
  <c r="AM40" i="1"/>
  <c r="AM41" i="1"/>
  <c r="AM42" i="1"/>
  <c r="AM43" i="1"/>
  <c r="AM44" i="1"/>
  <c r="AM45" i="1"/>
  <c r="AM46" i="1"/>
  <c r="AM47" i="1"/>
  <c r="AM48" i="1"/>
  <c r="AM49" i="1"/>
  <c r="AM50" i="1"/>
  <c r="AM51" i="1"/>
  <c r="AM52" i="1"/>
  <c r="AM53" i="1"/>
  <c r="AM54" i="1"/>
  <c r="AM55" i="1"/>
  <c r="AM56" i="1"/>
  <c r="AM57" i="1"/>
  <c r="AM58" i="1"/>
  <c r="AM59" i="1"/>
  <c r="AM60" i="1"/>
  <c r="AM61" i="1"/>
  <c r="AM62" i="1"/>
  <c r="AM63" i="1"/>
  <c r="AM64" i="1"/>
  <c r="AM65" i="1"/>
  <c r="AM66" i="1"/>
  <c r="AM67" i="1"/>
  <c r="AM68" i="1"/>
  <c r="AM69" i="1"/>
  <c r="AM70" i="1"/>
  <c r="AM71" i="1"/>
  <c r="AM72" i="1"/>
  <c r="AM73" i="1"/>
  <c r="AM74" i="1"/>
  <c r="AM75" i="1"/>
  <c r="AM76" i="1"/>
  <c r="AM77" i="1"/>
  <c r="AM78" i="1"/>
  <c r="AM79" i="1"/>
  <c r="AM80" i="1"/>
  <c r="AM81" i="1"/>
  <c r="AM82" i="1"/>
  <c r="AM83" i="1"/>
  <c r="AM84" i="1"/>
  <c r="AM85" i="1"/>
  <c r="AM86" i="1"/>
  <c r="AM87" i="1"/>
  <c r="AM88" i="1"/>
  <c r="AM89" i="1"/>
  <c r="AM90" i="1"/>
  <c r="AM91" i="1"/>
  <c r="AM92" i="1"/>
  <c r="AM93" i="1"/>
  <c r="AM94" i="1"/>
  <c r="AM95" i="1"/>
  <c r="AM96" i="1"/>
  <c r="AM97" i="1"/>
  <c r="AM98" i="1"/>
  <c r="AM99" i="1"/>
  <c r="AM100" i="1"/>
  <c r="AM101" i="1"/>
  <c r="AM2"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AJ3" i="1"/>
  <c r="AJ4" i="1"/>
  <c r="AJ5" i="1"/>
  <c r="AJ6" i="1"/>
  <c r="AJ7" i="1"/>
  <c r="AJ8" i="1"/>
  <c r="AJ9" i="1"/>
  <c r="AJ10" i="1"/>
  <c r="AJ11" i="1"/>
  <c r="AJ12" i="1"/>
  <c r="AJ13" i="1"/>
  <c r="AJ14" i="1"/>
  <c r="AJ15" i="1"/>
  <c r="AJ16" i="1"/>
  <c r="AJ17" i="1"/>
  <c r="AJ18" i="1"/>
  <c r="AJ19" i="1"/>
  <c r="AJ20" i="1"/>
  <c r="AJ21" i="1"/>
  <c r="AJ22" i="1"/>
  <c r="AJ23" i="1"/>
  <c r="AJ24" i="1"/>
  <c r="AJ25" i="1"/>
  <c r="AJ26" i="1"/>
  <c r="AJ27" i="1"/>
  <c r="AJ28" i="1"/>
  <c r="AJ29" i="1"/>
  <c r="AJ30" i="1"/>
  <c r="AJ31" i="1"/>
  <c r="AJ32" i="1"/>
  <c r="AJ33" i="1"/>
  <c r="AJ34" i="1"/>
  <c r="AJ35" i="1"/>
  <c r="AJ36" i="1"/>
  <c r="AJ37" i="1"/>
  <c r="AJ38" i="1"/>
  <c r="AJ39" i="1"/>
  <c r="AJ40" i="1"/>
  <c r="AJ41" i="1"/>
  <c r="AJ42" i="1"/>
  <c r="AJ43" i="1"/>
  <c r="AJ44" i="1"/>
  <c r="AJ45" i="1"/>
  <c r="AJ46" i="1"/>
  <c r="AJ47" i="1"/>
  <c r="AJ48" i="1"/>
  <c r="AJ49" i="1"/>
  <c r="AJ50" i="1"/>
  <c r="AJ51" i="1"/>
  <c r="AJ52" i="1"/>
  <c r="AJ53" i="1"/>
  <c r="AJ54" i="1"/>
  <c r="AJ55" i="1"/>
  <c r="AJ56" i="1"/>
  <c r="AJ57" i="1"/>
  <c r="AJ58" i="1"/>
  <c r="AJ59" i="1"/>
  <c r="AJ60" i="1"/>
  <c r="AJ61" i="1"/>
  <c r="AJ62" i="1"/>
  <c r="AJ63" i="1"/>
  <c r="AJ64" i="1"/>
  <c r="AJ65" i="1"/>
  <c r="AJ66" i="1"/>
  <c r="AJ67" i="1"/>
  <c r="AJ68" i="1"/>
  <c r="AJ69" i="1"/>
  <c r="AJ70" i="1"/>
  <c r="AJ71" i="1"/>
  <c r="AJ72" i="1"/>
  <c r="AJ73" i="1"/>
  <c r="AJ74" i="1"/>
  <c r="AJ75" i="1"/>
  <c r="AJ76" i="1"/>
  <c r="AJ77" i="1"/>
  <c r="AJ78" i="1"/>
  <c r="AJ79" i="1"/>
  <c r="AJ80" i="1"/>
  <c r="AJ81" i="1"/>
  <c r="AJ82" i="1"/>
  <c r="AJ83" i="1"/>
  <c r="AJ84" i="1"/>
  <c r="AJ85" i="1"/>
  <c r="AJ86" i="1"/>
  <c r="AJ87" i="1"/>
  <c r="AJ88" i="1"/>
  <c r="AJ89" i="1"/>
  <c r="AJ90" i="1"/>
  <c r="AJ91" i="1"/>
  <c r="AJ92" i="1"/>
  <c r="AJ93" i="1"/>
  <c r="AJ94" i="1"/>
  <c r="AJ95" i="1"/>
  <c r="AJ96" i="1"/>
  <c r="AJ97" i="1"/>
  <c r="AJ98" i="1"/>
  <c r="AJ99" i="1"/>
  <c r="AJ100" i="1"/>
  <c r="AJ101" i="1"/>
  <c r="AJ2" i="1"/>
  <c r="AS221" i="1"/>
  <c r="AS215" i="1"/>
  <c r="AS210" i="1"/>
  <c r="AS205" i="1"/>
  <c r="AS198" i="1"/>
  <c r="AS192" i="1"/>
  <c r="AC5" i="1"/>
  <c r="AS186" i="1"/>
  <c r="AS180" i="1"/>
  <c r="AS173" i="1"/>
  <c r="AQ27" i="1"/>
  <c r="AI3" i="1"/>
  <c r="AI4" i="1"/>
  <c r="AI5" i="1"/>
  <c r="AI6" i="1"/>
  <c r="AI7" i="1"/>
  <c r="AI8" i="1"/>
  <c r="AI9" i="1"/>
  <c r="AI10" i="1"/>
  <c r="AI11" i="1"/>
  <c r="AI12" i="1"/>
  <c r="AI13" i="1"/>
  <c r="AI14" i="1"/>
  <c r="AI15" i="1"/>
  <c r="AI16" i="1"/>
  <c r="AI17" i="1"/>
  <c r="AI18" i="1"/>
  <c r="AI19" i="1"/>
  <c r="AI20" i="1"/>
  <c r="AI21" i="1"/>
  <c r="AI22" i="1"/>
  <c r="AI23" i="1"/>
  <c r="AI24" i="1"/>
  <c r="AI25" i="1"/>
  <c r="AI26" i="1"/>
  <c r="AI27" i="1"/>
  <c r="AI28" i="1"/>
  <c r="AI29" i="1"/>
  <c r="AI30" i="1"/>
  <c r="AI31" i="1"/>
  <c r="AI32" i="1"/>
  <c r="AI33" i="1"/>
  <c r="AI34" i="1"/>
  <c r="AI35" i="1"/>
  <c r="AI36" i="1"/>
  <c r="AI37" i="1"/>
  <c r="AI38" i="1"/>
  <c r="AI39" i="1"/>
  <c r="AI40" i="1"/>
  <c r="AI41" i="1"/>
  <c r="AI42" i="1"/>
  <c r="AI43" i="1"/>
  <c r="AI44" i="1"/>
  <c r="AI45" i="1"/>
  <c r="AI46" i="1"/>
  <c r="AI47" i="1"/>
  <c r="AI48" i="1"/>
  <c r="AI49" i="1"/>
  <c r="AI50" i="1"/>
  <c r="AI51" i="1"/>
  <c r="AI52" i="1"/>
  <c r="AI53" i="1"/>
  <c r="AI54" i="1"/>
  <c r="AI55" i="1"/>
  <c r="AI56" i="1"/>
  <c r="AI57" i="1"/>
  <c r="AI58" i="1"/>
  <c r="AI59" i="1"/>
  <c r="AI60" i="1"/>
  <c r="AI61" i="1"/>
  <c r="AI62" i="1"/>
  <c r="AI63" i="1"/>
  <c r="AI64" i="1"/>
  <c r="AI65" i="1"/>
  <c r="AI66" i="1"/>
  <c r="AI67" i="1"/>
  <c r="AI68" i="1"/>
  <c r="AI69" i="1"/>
  <c r="AI70" i="1"/>
  <c r="AI71" i="1"/>
  <c r="AI72" i="1"/>
  <c r="AI73" i="1"/>
  <c r="AI74" i="1"/>
  <c r="AI75" i="1"/>
  <c r="AI76" i="1"/>
  <c r="AI77" i="1"/>
  <c r="AI78" i="1"/>
  <c r="AI79" i="1"/>
  <c r="AI80" i="1"/>
  <c r="AI81" i="1"/>
  <c r="AI82" i="1"/>
  <c r="AI83" i="1"/>
  <c r="AI84" i="1"/>
  <c r="AI85" i="1"/>
  <c r="AI86" i="1"/>
  <c r="AI87" i="1"/>
  <c r="AI88" i="1"/>
  <c r="AI89" i="1"/>
  <c r="AI90" i="1"/>
  <c r="AI91" i="1"/>
  <c r="AI92" i="1"/>
  <c r="AI93" i="1"/>
  <c r="AI94" i="1"/>
  <c r="AI95" i="1"/>
  <c r="AI96" i="1"/>
  <c r="AI97" i="1"/>
  <c r="AI98" i="1"/>
  <c r="AI99" i="1"/>
  <c r="AI100" i="1"/>
  <c r="AI101" i="1"/>
  <c r="AI2" i="1"/>
  <c r="AH3" i="1"/>
  <c r="AH4" i="1"/>
  <c r="AH5" i="1"/>
  <c r="AH6" i="1"/>
  <c r="AH7" i="1"/>
  <c r="AH8" i="1"/>
  <c r="AH9" i="1"/>
  <c r="AH10" i="1"/>
  <c r="AH11" i="1"/>
  <c r="AH12" i="1"/>
  <c r="AH13" i="1"/>
  <c r="AH14" i="1"/>
  <c r="AH15" i="1"/>
  <c r="AH16" i="1"/>
  <c r="AH17" i="1"/>
  <c r="AH18" i="1"/>
  <c r="AH19" i="1"/>
  <c r="AH20" i="1"/>
  <c r="AH21" i="1"/>
  <c r="AH22" i="1"/>
  <c r="AH23" i="1"/>
  <c r="AH24" i="1"/>
  <c r="AH25" i="1"/>
  <c r="AH26" i="1"/>
  <c r="AH27" i="1"/>
  <c r="AH28" i="1"/>
  <c r="AH29" i="1"/>
  <c r="AH30" i="1"/>
  <c r="AH31" i="1"/>
  <c r="AH32" i="1"/>
  <c r="AH33" i="1"/>
  <c r="AH34" i="1"/>
  <c r="AH35" i="1"/>
  <c r="AH36" i="1"/>
  <c r="AH37" i="1"/>
  <c r="AH38" i="1"/>
  <c r="AH39" i="1"/>
  <c r="AH40" i="1"/>
  <c r="AH41" i="1"/>
  <c r="AH42" i="1"/>
  <c r="AH43" i="1"/>
  <c r="AH44" i="1"/>
  <c r="AH45" i="1"/>
  <c r="AH46" i="1"/>
  <c r="AH47" i="1"/>
  <c r="AH48" i="1"/>
  <c r="AH49" i="1"/>
  <c r="AH50" i="1"/>
  <c r="AH51" i="1"/>
  <c r="AH52" i="1"/>
  <c r="AH53" i="1"/>
  <c r="AH54" i="1"/>
  <c r="AH55" i="1"/>
  <c r="AH56" i="1"/>
  <c r="AH57" i="1"/>
  <c r="AH58" i="1"/>
  <c r="AH59" i="1"/>
  <c r="AH60" i="1"/>
  <c r="AH61" i="1"/>
  <c r="AH62" i="1"/>
  <c r="AH63" i="1"/>
  <c r="AH64" i="1"/>
  <c r="AH65" i="1"/>
  <c r="AH66" i="1"/>
  <c r="AH67" i="1"/>
  <c r="AH68" i="1"/>
  <c r="AH69" i="1"/>
  <c r="AH70" i="1"/>
  <c r="AH71" i="1"/>
  <c r="AH72" i="1"/>
  <c r="AH73" i="1"/>
  <c r="AH74" i="1"/>
  <c r="AH75" i="1"/>
  <c r="AH76" i="1"/>
  <c r="AH77" i="1"/>
  <c r="AH78" i="1"/>
  <c r="AH79" i="1"/>
  <c r="AH80" i="1"/>
  <c r="AH81" i="1"/>
  <c r="AH82" i="1"/>
  <c r="AH83" i="1"/>
  <c r="AH84" i="1"/>
  <c r="AH85" i="1"/>
  <c r="AH86" i="1"/>
  <c r="AH87" i="1"/>
  <c r="AH88" i="1"/>
  <c r="AH89" i="1"/>
  <c r="AH90" i="1"/>
  <c r="AH91" i="1"/>
  <c r="AH92" i="1"/>
  <c r="AH93" i="1"/>
  <c r="AH94" i="1"/>
  <c r="AH95" i="1"/>
  <c r="AH96" i="1"/>
  <c r="AH97" i="1"/>
  <c r="AH98" i="1"/>
  <c r="AH99" i="1"/>
  <c r="AH100" i="1"/>
  <c r="AH101" i="1"/>
  <c r="AH2" i="1"/>
  <c r="AG3" i="1"/>
  <c r="AG4" i="1"/>
  <c r="AG5" i="1"/>
  <c r="AG6" i="1"/>
  <c r="AG7" i="1"/>
  <c r="AG8" i="1"/>
  <c r="AG9" i="1"/>
  <c r="AG10" i="1"/>
  <c r="AG11" i="1"/>
  <c r="AG12" i="1"/>
  <c r="AG13" i="1"/>
  <c r="AG14" i="1"/>
  <c r="AG15" i="1"/>
  <c r="AG16" i="1"/>
  <c r="AG17" i="1"/>
  <c r="AG18" i="1"/>
  <c r="AG19" i="1"/>
  <c r="AG20" i="1"/>
  <c r="AG21" i="1"/>
  <c r="AG22" i="1"/>
  <c r="AG23" i="1"/>
  <c r="AG24" i="1"/>
  <c r="AG25" i="1"/>
  <c r="AG26" i="1"/>
  <c r="AG27" i="1"/>
  <c r="AG28" i="1"/>
  <c r="AG29" i="1"/>
  <c r="AG30" i="1"/>
  <c r="AG31" i="1"/>
  <c r="AG32" i="1"/>
  <c r="AG33" i="1"/>
  <c r="AG34" i="1"/>
  <c r="AG35" i="1"/>
  <c r="AG36" i="1"/>
  <c r="AG37" i="1"/>
  <c r="AG38" i="1"/>
  <c r="AG39" i="1"/>
  <c r="AG40" i="1"/>
  <c r="AG41" i="1"/>
  <c r="AG42" i="1"/>
  <c r="AG43" i="1"/>
  <c r="AG44" i="1"/>
  <c r="AG45" i="1"/>
  <c r="AG46" i="1"/>
  <c r="AG47" i="1"/>
  <c r="AG48" i="1"/>
  <c r="AG49" i="1"/>
  <c r="AG50" i="1"/>
  <c r="AG51" i="1"/>
  <c r="AG52" i="1"/>
  <c r="AG53" i="1"/>
  <c r="AG54" i="1"/>
  <c r="AG55" i="1"/>
  <c r="AG56" i="1"/>
  <c r="AG57" i="1"/>
  <c r="AG58" i="1"/>
  <c r="AG59" i="1"/>
  <c r="AG60" i="1"/>
  <c r="AG61" i="1"/>
  <c r="AG62" i="1"/>
  <c r="AG63" i="1"/>
  <c r="AG64" i="1"/>
  <c r="AG65" i="1"/>
  <c r="AG66" i="1"/>
  <c r="AG67" i="1"/>
  <c r="AG68" i="1"/>
  <c r="AG69" i="1"/>
  <c r="AG70" i="1"/>
  <c r="AG71" i="1"/>
  <c r="AG72" i="1"/>
  <c r="AG73" i="1"/>
  <c r="AG74" i="1"/>
  <c r="AG75" i="1"/>
  <c r="AG76" i="1"/>
  <c r="AG77" i="1"/>
  <c r="AG78" i="1"/>
  <c r="AG79" i="1"/>
  <c r="AG80" i="1"/>
  <c r="AG81" i="1"/>
  <c r="AG82" i="1"/>
  <c r="AG83" i="1"/>
  <c r="AG84" i="1"/>
  <c r="AG85" i="1"/>
  <c r="AG86" i="1"/>
  <c r="AG87" i="1"/>
  <c r="AG88" i="1"/>
  <c r="AG89" i="1"/>
  <c r="AG90" i="1"/>
  <c r="AG91" i="1"/>
  <c r="AG92" i="1"/>
  <c r="AG93" i="1"/>
  <c r="AG94" i="1"/>
  <c r="AG95" i="1"/>
  <c r="AG96" i="1"/>
  <c r="AG97" i="1"/>
  <c r="AG98" i="1"/>
  <c r="AG99" i="1"/>
  <c r="AG100" i="1"/>
  <c r="AG101" i="1"/>
  <c r="AG2" i="1"/>
  <c r="AF3" i="1"/>
  <c r="AF4" i="1"/>
  <c r="AF5" i="1"/>
  <c r="AF6" i="1"/>
  <c r="AF7" i="1"/>
  <c r="AF8" i="1"/>
  <c r="AF9" i="1"/>
  <c r="AF10" i="1"/>
  <c r="AF11" i="1"/>
  <c r="AF12" i="1"/>
  <c r="AF13" i="1"/>
  <c r="AF14" i="1"/>
  <c r="AF15" i="1"/>
  <c r="AF16" i="1"/>
  <c r="AF17" i="1"/>
  <c r="AF18" i="1"/>
  <c r="AF19" i="1"/>
  <c r="AF20" i="1"/>
  <c r="AF21" i="1"/>
  <c r="AF22" i="1"/>
  <c r="AF23" i="1"/>
  <c r="AF24" i="1"/>
  <c r="AF25" i="1"/>
  <c r="AF26" i="1"/>
  <c r="AF27" i="1"/>
  <c r="AF28" i="1"/>
  <c r="AF29" i="1"/>
  <c r="AF30" i="1"/>
  <c r="AF31" i="1"/>
  <c r="AF32" i="1"/>
  <c r="AF33" i="1"/>
  <c r="AF34" i="1"/>
  <c r="AF35" i="1"/>
  <c r="AF36" i="1"/>
  <c r="AF37" i="1"/>
  <c r="AF38" i="1"/>
  <c r="AF39" i="1"/>
  <c r="AF40" i="1"/>
  <c r="AF41" i="1"/>
  <c r="AF42" i="1"/>
  <c r="AF43" i="1"/>
  <c r="AF44" i="1"/>
  <c r="AF45" i="1"/>
  <c r="AF46" i="1"/>
  <c r="AF47" i="1"/>
  <c r="AF48" i="1"/>
  <c r="AF49" i="1"/>
  <c r="AF50" i="1"/>
  <c r="AF51" i="1"/>
  <c r="AF52" i="1"/>
  <c r="AF53" i="1"/>
  <c r="AF54" i="1"/>
  <c r="AF55" i="1"/>
  <c r="AF56" i="1"/>
  <c r="AF57" i="1"/>
  <c r="AF58" i="1"/>
  <c r="AF59" i="1"/>
  <c r="AF60" i="1"/>
  <c r="AF61" i="1"/>
  <c r="AF62" i="1"/>
  <c r="AF63" i="1"/>
  <c r="AF64" i="1"/>
  <c r="AF65" i="1"/>
  <c r="AF66" i="1"/>
  <c r="AF67" i="1"/>
  <c r="AF68" i="1"/>
  <c r="AF69" i="1"/>
  <c r="AF70" i="1"/>
  <c r="AF71" i="1"/>
  <c r="AF72" i="1"/>
  <c r="AF73" i="1"/>
  <c r="AF74" i="1"/>
  <c r="AF75" i="1"/>
  <c r="AF76" i="1"/>
  <c r="AF77" i="1"/>
  <c r="AF78" i="1"/>
  <c r="AF79" i="1"/>
  <c r="AF80" i="1"/>
  <c r="AF81" i="1"/>
  <c r="AF82" i="1"/>
  <c r="AF83" i="1"/>
  <c r="AF84" i="1"/>
  <c r="AF85" i="1"/>
  <c r="AF86" i="1"/>
  <c r="AF87" i="1"/>
  <c r="AF88" i="1"/>
  <c r="AF89" i="1"/>
  <c r="AF90" i="1"/>
  <c r="AF91" i="1"/>
  <c r="AF92" i="1"/>
  <c r="AF93" i="1"/>
  <c r="AF94" i="1"/>
  <c r="AF95" i="1"/>
  <c r="AF96" i="1"/>
  <c r="AF97" i="1"/>
  <c r="AF98" i="1"/>
  <c r="AF99" i="1"/>
  <c r="AF100" i="1"/>
  <c r="AF101" i="1"/>
  <c r="AF2" i="1"/>
  <c r="AE3" i="1"/>
  <c r="AE4" i="1"/>
  <c r="AE5" i="1"/>
  <c r="AE6" i="1"/>
  <c r="AE7" i="1"/>
  <c r="AE8" i="1"/>
  <c r="AE9" i="1"/>
  <c r="AE10" i="1"/>
  <c r="AE11" i="1"/>
  <c r="AE12" i="1"/>
  <c r="AE13" i="1"/>
  <c r="AE14" i="1"/>
  <c r="AE15" i="1"/>
  <c r="AE16" i="1"/>
  <c r="AE17" i="1"/>
  <c r="AE18" i="1"/>
  <c r="AE19" i="1"/>
  <c r="AE20" i="1"/>
  <c r="AE21" i="1"/>
  <c r="AE22" i="1"/>
  <c r="AE23" i="1"/>
  <c r="AE24" i="1"/>
  <c r="AE25" i="1"/>
  <c r="AE26" i="1"/>
  <c r="AE27" i="1"/>
  <c r="AE28" i="1"/>
  <c r="AE29" i="1"/>
  <c r="AE30" i="1"/>
  <c r="AE31" i="1"/>
  <c r="AE32" i="1"/>
  <c r="AE33" i="1"/>
  <c r="AE34" i="1"/>
  <c r="AE35" i="1"/>
  <c r="AE36" i="1"/>
  <c r="AE37" i="1"/>
  <c r="AE38" i="1"/>
  <c r="AE39" i="1"/>
  <c r="AE40" i="1"/>
  <c r="AE41" i="1"/>
  <c r="AE42" i="1"/>
  <c r="AE43" i="1"/>
  <c r="AE44" i="1"/>
  <c r="AE45" i="1"/>
  <c r="AE46" i="1"/>
  <c r="AE47" i="1"/>
  <c r="AE48" i="1"/>
  <c r="AE49" i="1"/>
  <c r="AE50" i="1"/>
  <c r="AE51" i="1"/>
  <c r="AE52" i="1"/>
  <c r="AE53" i="1"/>
  <c r="AE54" i="1"/>
  <c r="AE55" i="1"/>
  <c r="AE56" i="1"/>
  <c r="AE57" i="1"/>
  <c r="AE58" i="1"/>
  <c r="AE59" i="1"/>
  <c r="AE60" i="1"/>
  <c r="AE61" i="1"/>
  <c r="AE62" i="1"/>
  <c r="AE63" i="1"/>
  <c r="AE64" i="1"/>
  <c r="AE65" i="1"/>
  <c r="AE66" i="1"/>
  <c r="AE67" i="1"/>
  <c r="AE68" i="1"/>
  <c r="AE69" i="1"/>
  <c r="AE70" i="1"/>
  <c r="AE71" i="1"/>
  <c r="AE72" i="1"/>
  <c r="AE73" i="1"/>
  <c r="AE74" i="1"/>
  <c r="AE75" i="1"/>
  <c r="AE76" i="1"/>
  <c r="AE77" i="1"/>
  <c r="AE78" i="1"/>
  <c r="AE79" i="1"/>
  <c r="AE80" i="1"/>
  <c r="AE81" i="1"/>
  <c r="AE82" i="1"/>
  <c r="AE83" i="1"/>
  <c r="AE84" i="1"/>
  <c r="AE85" i="1"/>
  <c r="AE86" i="1"/>
  <c r="AE87" i="1"/>
  <c r="AE88" i="1"/>
  <c r="AE89" i="1"/>
  <c r="AE90" i="1"/>
  <c r="AE91" i="1"/>
  <c r="AE92" i="1"/>
  <c r="AE93" i="1"/>
  <c r="AE94" i="1"/>
  <c r="AE95" i="1"/>
  <c r="AE96" i="1"/>
  <c r="AE97" i="1"/>
  <c r="AE98" i="1"/>
  <c r="AE99" i="1"/>
  <c r="AE100" i="1"/>
  <c r="AE101" i="1"/>
  <c r="AE2" i="1"/>
  <c r="AD3" i="1"/>
  <c r="AD4" i="1"/>
  <c r="AD5" i="1"/>
  <c r="AD6" i="1"/>
  <c r="AD7" i="1"/>
  <c r="AD8" i="1"/>
  <c r="AD9" i="1"/>
  <c r="AD10" i="1"/>
  <c r="AD11" i="1"/>
  <c r="AD12" i="1"/>
  <c r="AD13" i="1"/>
  <c r="AD14" i="1"/>
  <c r="AD15" i="1"/>
  <c r="AD16" i="1"/>
  <c r="AD17" i="1"/>
  <c r="AD18" i="1"/>
  <c r="AD19" i="1"/>
  <c r="AD20" i="1"/>
  <c r="AD21" i="1"/>
  <c r="AD22" i="1"/>
  <c r="AD23" i="1"/>
  <c r="AD24" i="1"/>
  <c r="AD25" i="1"/>
  <c r="AD26" i="1"/>
  <c r="AD27" i="1"/>
  <c r="AD28" i="1"/>
  <c r="AD29" i="1"/>
  <c r="AD30" i="1"/>
  <c r="AD31" i="1"/>
  <c r="AD32" i="1"/>
  <c r="AD33" i="1"/>
  <c r="AD34" i="1"/>
  <c r="AD35" i="1"/>
  <c r="AD36" i="1"/>
  <c r="AD37" i="1"/>
  <c r="AD38" i="1"/>
  <c r="AD39" i="1"/>
  <c r="AD40" i="1"/>
  <c r="AD41" i="1"/>
  <c r="AD42" i="1"/>
  <c r="AD43" i="1"/>
  <c r="AD44" i="1"/>
  <c r="AD45" i="1"/>
  <c r="AD46" i="1"/>
  <c r="AD47" i="1"/>
  <c r="AD48" i="1"/>
  <c r="AD49" i="1"/>
  <c r="AD50" i="1"/>
  <c r="AD51" i="1"/>
  <c r="AD52" i="1"/>
  <c r="AD53" i="1"/>
  <c r="AD54" i="1"/>
  <c r="AD55" i="1"/>
  <c r="AD56" i="1"/>
  <c r="AD57" i="1"/>
  <c r="AD58" i="1"/>
  <c r="AD59" i="1"/>
  <c r="AD60" i="1"/>
  <c r="AD61" i="1"/>
  <c r="AD62" i="1"/>
  <c r="AD63" i="1"/>
  <c r="AD64" i="1"/>
  <c r="AD65" i="1"/>
  <c r="AD66" i="1"/>
  <c r="AD67" i="1"/>
  <c r="AD68" i="1"/>
  <c r="AD69" i="1"/>
  <c r="AD70" i="1"/>
  <c r="AD71" i="1"/>
  <c r="AD72" i="1"/>
  <c r="AD73" i="1"/>
  <c r="AD74" i="1"/>
  <c r="AD75" i="1"/>
  <c r="AD76" i="1"/>
  <c r="AD77" i="1"/>
  <c r="AD78" i="1"/>
  <c r="AD79" i="1"/>
  <c r="AD80" i="1"/>
  <c r="AD81" i="1"/>
  <c r="AD82" i="1"/>
  <c r="AD83" i="1"/>
  <c r="AD84" i="1"/>
  <c r="AD85" i="1"/>
  <c r="AD86" i="1"/>
  <c r="AD87" i="1"/>
  <c r="AD88" i="1"/>
  <c r="AD89" i="1"/>
  <c r="AD90" i="1"/>
  <c r="AD91" i="1"/>
  <c r="AD92" i="1"/>
  <c r="AD93" i="1"/>
  <c r="AD94" i="1"/>
  <c r="AD95" i="1"/>
  <c r="AD96" i="1"/>
  <c r="AD97" i="1"/>
  <c r="AD98" i="1"/>
  <c r="AD99" i="1"/>
  <c r="AD100" i="1"/>
  <c r="AD101" i="1"/>
  <c r="AD2" i="1"/>
  <c r="AC3" i="1"/>
  <c r="AC4" i="1"/>
  <c r="AC6" i="1"/>
  <c r="AC7" i="1"/>
  <c r="AC8" i="1"/>
  <c r="AC9" i="1"/>
  <c r="AC10" i="1"/>
  <c r="AC11" i="1"/>
  <c r="AC12" i="1"/>
  <c r="AC13" i="1"/>
  <c r="AC14" i="1"/>
  <c r="AC15" i="1"/>
  <c r="AC16" i="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101" i="1"/>
  <c r="AC2" i="1"/>
  <c r="AB3" i="1"/>
  <c r="AB4"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2" i="1"/>
  <c r="AS166" i="1"/>
  <c r="AS167" i="1" s="1"/>
  <c r="AS158" i="1"/>
  <c r="AS160" i="1" s="1"/>
  <c r="AS150" i="1"/>
  <c r="AS149" i="1"/>
  <c r="AS148" i="1"/>
  <c r="AS142" i="1"/>
  <c r="AS136" i="1"/>
  <c r="AS130" i="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2" i="1"/>
  <c r="AQ32" i="1" a="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2" i="1"/>
  <c r="AQ21" i="1"/>
  <c r="AQ20" i="1"/>
  <c r="AQ15" i="1"/>
  <c r="AQ14" i="1"/>
  <c r="AQ9" i="1"/>
  <c r="AQ7" i="1"/>
  <c r="AQ3"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2" i="1"/>
  <c r="AL95" i="1" l="1"/>
  <c r="AK95" i="1"/>
  <c r="AL96" i="1"/>
  <c r="AK96" i="1"/>
  <c r="AL97" i="1"/>
  <c r="AK97" i="1"/>
  <c r="AL98" i="1"/>
  <c r="AK98" i="1"/>
  <c r="AL99" i="1"/>
  <c r="AK99" i="1"/>
  <c r="AL100" i="1"/>
  <c r="AK100" i="1"/>
  <c r="AL101" i="1"/>
  <c r="AK101" i="1"/>
  <c r="AL46" i="1"/>
  <c r="AK46" i="1"/>
  <c r="AL47" i="1"/>
  <c r="AK47" i="1"/>
  <c r="AL48" i="1"/>
  <c r="AK48" i="1"/>
  <c r="AL49" i="1"/>
  <c r="AK49" i="1"/>
  <c r="AL50" i="1"/>
  <c r="AK50" i="1"/>
  <c r="AL51" i="1"/>
  <c r="AK51" i="1"/>
  <c r="AL52" i="1"/>
  <c r="AK52" i="1"/>
  <c r="AL53" i="1"/>
  <c r="AK53" i="1"/>
  <c r="AL54" i="1"/>
  <c r="AK54" i="1"/>
  <c r="AL55" i="1"/>
  <c r="AK55" i="1"/>
  <c r="AL56" i="1"/>
  <c r="AK56" i="1"/>
  <c r="AL57" i="1"/>
  <c r="AK57" i="1"/>
  <c r="AL58" i="1"/>
  <c r="AK58" i="1"/>
  <c r="AL59" i="1"/>
  <c r="AK59" i="1"/>
  <c r="AL60" i="1"/>
  <c r="AK60" i="1"/>
  <c r="AL61" i="1"/>
  <c r="AK61" i="1"/>
  <c r="AL62" i="1"/>
  <c r="AK62" i="1"/>
  <c r="AL63" i="1"/>
  <c r="AK63" i="1"/>
  <c r="AL64" i="1"/>
  <c r="AK64" i="1"/>
  <c r="AL65" i="1"/>
  <c r="AK65" i="1"/>
  <c r="AL66" i="1"/>
  <c r="AK66" i="1"/>
  <c r="AL67" i="1"/>
  <c r="AK67" i="1"/>
  <c r="AL68" i="1"/>
  <c r="AK68" i="1"/>
  <c r="AL69" i="1"/>
  <c r="AK69" i="1"/>
  <c r="AL70" i="1"/>
  <c r="AK70" i="1"/>
  <c r="AL71" i="1"/>
  <c r="AK71" i="1"/>
  <c r="AL72" i="1"/>
  <c r="AK72" i="1"/>
  <c r="AL73" i="1"/>
  <c r="AK73" i="1"/>
  <c r="AL74" i="1"/>
  <c r="AK74" i="1"/>
  <c r="AL75" i="1"/>
  <c r="AK75" i="1"/>
  <c r="AL76" i="1"/>
  <c r="AK76" i="1"/>
  <c r="AL77" i="1"/>
  <c r="AK77" i="1"/>
  <c r="AL78" i="1"/>
  <c r="AK78" i="1"/>
  <c r="AL79" i="1"/>
  <c r="AK79" i="1"/>
  <c r="AL80" i="1"/>
  <c r="AK80" i="1"/>
  <c r="AL81" i="1"/>
  <c r="AK81" i="1"/>
  <c r="AL82" i="1"/>
  <c r="AK82" i="1"/>
  <c r="AL83" i="1"/>
  <c r="AK83" i="1"/>
  <c r="AL84" i="1"/>
  <c r="AK84" i="1"/>
  <c r="AL85" i="1"/>
  <c r="AK85" i="1"/>
  <c r="AL86" i="1"/>
  <c r="AK86" i="1"/>
  <c r="AL87" i="1"/>
  <c r="AK87" i="1"/>
  <c r="AL88" i="1"/>
  <c r="AK88" i="1"/>
  <c r="AL89" i="1"/>
  <c r="AK89" i="1"/>
  <c r="AL90" i="1"/>
  <c r="AK90" i="1"/>
  <c r="AL91" i="1"/>
  <c r="AK91" i="1"/>
  <c r="AL92" i="1"/>
  <c r="AK92" i="1"/>
  <c r="AL93" i="1"/>
  <c r="AK93" i="1"/>
  <c r="AL94" i="1"/>
  <c r="AK94" i="1"/>
  <c r="AL18" i="1"/>
  <c r="AK18" i="1"/>
  <c r="AL19" i="1"/>
  <c r="AK19" i="1"/>
  <c r="AL20" i="1"/>
  <c r="AK20" i="1"/>
  <c r="AL21" i="1"/>
  <c r="AK21" i="1"/>
  <c r="AL22" i="1"/>
  <c r="AK22" i="1"/>
  <c r="AL23" i="1"/>
  <c r="AK23" i="1"/>
  <c r="AL24" i="1"/>
  <c r="AK24" i="1"/>
  <c r="AL25" i="1"/>
  <c r="AK25" i="1"/>
  <c r="AL26" i="1"/>
  <c r="AK26" i="1"/>
  <c r="AL27" i="1"/>
  <c r="AK27" i="1"/>
  <c r="AL28" i="1"/>
  <c r="AK28" i="1"/>
  <c r="AL29" i="1"/>
  <c r="AK29" i="1"/>
  <c r="AL30" i="1"/>
  <c r="AK30" i="1"/>
  <c r="AL31" i="1"/>
  <c r="AK31" i="1"/>
  <c r="AL32" i="1"/>
  <c r="AK32" i="1"/>
  <c r="AL33" i="1"/>
  <c r="AK33" i="1"/>
  <c r="AL34" i="1"/>
  <c r="AK34" i="1"/>
  <c r="AL35" i="1"/>
  <c r="AK35" i="1"/>
  <c r="AL36" i="1"/>
  <c r="AK36" i="1"/>
  <c r="AL37" i="1"/>
  <c r="AK37" i="1"/>
  <c r="AL38" i="1"/>
  <c r="AK38" i="1"/>
  <c r="AL39" i="1"/>
  <c r="AK39" i="1"/>
  <c r="AL40" i="1"/>
  <c r="AK40" i="1"/>
  <c r="AL41" i="1"/>
  <c r="AK41" i="1"/>
  <c r="AL42" i="1"/>
  <c r="AK42" i="1"/>
  <c r="AL43" i="1"/>
  <c r="AK43" i="1"/>
  <c r="AL44" i="1"/>
  <c r="AK44" i="1"/>
  <c r="AL45" i="1"/>
  <c r="AK45" i="1"/>
  <c r="AL2" i="1"/>
  <c r="AK2" i="1"/>
  <c r="AL3" i="1"/>
  <c r="AK3" i="1"/>
  <c r="AL4" i="1"/>
  <c r="AK4" i="1"/>
  <c r="AL5" i="1"/>
  <c r="AK5" i="1"/>
  <c r="AL6" i="1"/>
  <c r="AK6" i="1"/>
  <c r="AL7" i="1"/>
  <c r="AK7" i="1"/>
  <c r="AL8" i="1"/>
  <c r="AK8" i="1"/>
  <c r="AL9" i="1"/>
  <c r="AK9" i="1"/>
  <c r="AL10" i="1"/>
  <c r="AK10" i="1"/>
  <c r="AL11" i="1"/>
  <c r="AK11" i="1"/>
  <c r="AL12" i="1"/>
  <c r="AK12" i="1"/>
  <c r="AL13" i="1"/>
  <c r="AK13" i="1"/>
  <c r="AL14" i="1"/>
  <c r="AK14" i="1"/>
  <c r="AL15" i="1"/>
  <c r="AK15" i="1"/>
  <c r="AL16" i="1"/>
  <c r="AK16" i="1"/>
  <c r="AL17" i="1"/>
  <c r="AK17" i="1"/>
  <c r="AS152" i="1"/>
  <c r="AS13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Ganesh</author>
  </authors>
  <commentList>
    <comment ref="I1" authorId="0" shapeId="0" xr:uid="{2083283F-E227-4F52-8308-D6F037D7804E}">
      <text>
        <r>
          <rPr>
            <b/>
            <sz val="9"/>
            <color indexed="81"/>
            <rFont val="Tahoma"/>
            <charset val="1"/>
          </rPr>
          <t>Ganesh:</t>
        </r>
        <r>
          <rPr>
            <sz val="9"/>
            <color indexed="81"/>
            <rFont val="Tahoma"/>
            <charset val="1"/>
          </rPr>
          <t xml:space="preserve">
Color cells where Attendance &lt; 75%. </t>
        </r>
      </text>
    </comment>
    <comment ref="W1" authorId="0" shapeId="0" xr:uid="{233FC184-9342-4635-B83C-BA77B737C336}">
      <text>
        <r>
          <rPr>
            <b/>
            <sz val="9"/>
            <color indexed="81"/>
            <rFont val="Tahoma"/>
            <charset val="1"/>
          </rPr>
          <t>Ganesh:</t>
        </r>
        <r>
          <rPr>
            <sz val="9"/>
            <color indexed="81"/>
            <rFont val="Tahoma"/>
            <charset val="1"/>
          </rPr>
          <t xml:space="preserve">
Calculate overall score using weighted formula 
</t>
        </r>
      </text>
    </comment>
    <comment ref="X1" authorId="0" shapeId="0" xr:uid="{39E8DDD5-0674-4042-A0B6-8E0FA0A4AA83}">
      <text>
        <r>
          <rPr>
            <b/>
            <sz val="9"/>
            <color indexed="81"/>
            <rFont val="Tahoma"/>
            <charset val="1"/>
          </rPr>
          <t>Ganesh:</t>
        </r>
        <r>
          <rPr>
            <sz val="9"/>
            <color indexed="81"/>
            <rFont val="Tahoma"/>
            <charset val="1"/>
          </rPr>
          <t xml:space="preserve">
Identify At-Risk Students 
 Attendance &lt; 75 OR Final Score &lt; 45.
</t>
        </r>
      </text>
    </comment>
    <comment ref="Z1" authorId="0" shapeId="0" xr:uid="{088FE01C-6EDF-4DD8-AE01-74B32EA2099C}">
      <text>
        <r>
          <rPr>
            <b/>
            <sz val="9"/>
            <color indexed="81"/>
            <rFont val="Tahoma"/>
            <charset val="1"/>
          </rPr>
          <t>Ganesh:</t>
        </r>
        <r>
          <rPr>
            <sz val="9"/>
            <color indexed="81"/>
            <rFont val="Tahoma"/>
            <charset val="1"/>
          </rPr>
          <t xml:space="preserve">
 Find Improvement from Midterm to Final </t>
        </r>
      </text>
    </comment>
    <comment ref="AA1" authorId="0" shapeId="0" xr:uid="{F95D7DD6-102F-412B-BC54-8328EE0F919E}">
      <text>
        <r>
          <rPr>
            <b/>
            <sz val="9"/>
            <color indexed="81"/>
            <rFont val="Tahoma"/>
            <charset val="1"/>
          </rPr>
          <t>Ganesh:</t>
        </r>
        <r>
          <rPr>
            <sz val="9"/>
            <color indexed="81"/>
            <rFont val="Tahoma"/>
            <charset val="1"/>
          </rPr>
          <t xml:space="preserve">
Grade Assign Final_Score base &gt; 80 A 
&gt;=70 , B
&gt; = 60 c
&gt; =50 D
&lt;50 "Fail"
</t>
        </r>
      </text>
    </comment>
    <comment ref="AB1" authorId="0" shapeId="0" xr:uid="{A776EA7C-E2A7-497F-94BC-F5071BFE9E01}">
      <text>
        <r>
          <rPr>
            <b/>
            <sz val="9"/>
            <color indexed="81"/>
            <rFont val="Tahoma"/>
            <charset val="1"/>
          </rPr>
          <t>Ganesh:</t>
        </r>
        <r>
          <rPr>
            <sz val="9"/>
            <color indexed="81"/>
            <rFont val="Tahoma"/>
            <charset val="1"/>
          </rPr>
          <t xml:space="preserve">
Final_Score add + 5 Point and show result
</t>
        </r>
      </text>
    </comment>
    <comment ref="AC1" authorId="0" shapeId="0" xr:uid="{847680B9-E353-4E51-8B61-8FF3D32D8406}">
      <text>
        <r>
          <rPr>
            <b/>
            <sz val="9"/>
            <color indexed="81"/>
            <rFont val="Tahoma"/>
            <charset val="1"/>
          </rPr>
          <t>Ganesh:</t>
        </r>
        <r>
          <rPr>
            <sz val="9"/>
            <color indexed="81"/>
            <rFont val="Tahoma"/>
            <charset val="1"/>
          </rPr>
          <t xml:space="preserve">
Assign “Pass” if Final Score ≥ 40 
final Score base 
</t>
        </r>
      </text>
    </comment>
    <comment ref="AD1" authorId="0" shapeId="0" xr:uid="{87953155-1A58-4540-9C89-B9344514E2BD}">
      <text>
        <r>
          <rPr>
            <b/>
            <sz val="9"/>
            <color indexed="81"/>
            <rFont val="Tahoma"/>
            <charset val="1"/>
          </rPr>
          <t>Ganesh:</t>
        </r>
        <r>
          <rPr>
            <sz val="9"/>
            <color indexed="81"/>
            <rFont val="Tahoma"/>
            <charset val="1"/>
          </rPr>
          <t xml:space="preserve">
Score &gt;=80 and 
attendance &gt;=90 
"High Perotmance", Normal"
</t>
        </r>
      </text>
    </comment>
    <comment ref="AE1" authorId="0" shapeId="0" xr:uid="{72A640A0-A3AA-4160-A9AF-C57B153B05FE}">
      <text>
        <r>
          <rPr>
            <b/>
            <sz val="9"/>
            <color indexed="81"/>
            <rFont val="Tahoma"/>
            <charset val="1"/>
          </rPr>
          <t>Ganesh:</t>
        </r>
        <r>
          <rPr>
            <sz val="9"/>
            <color indexed="81"/>
            <rFont val="Tahoma"/>
            <charset val="1"/>
          </rPr>
          <t xml:space="preserve">
Gender base assign male = boy 
Female = girl </t>
        </r>
      </text>
    </comment>
    <comment ref="AF1" authorId="0" shapeId="0" xr:uid="{1A84C7FF-0EB5-4731-AC62-F67AF773BEB1}">
      <text>
        <r>
          <rPr>
            <b/>
            <sz val="9"/>
            <color indexed="81"/>
            <rFont val="Tahoma"/>
            <charset val="1"/>
          </rPr>
          <t>Ganesh:</t>
        </r>
        <r>
          <rPr>
            <sz val="9"/>
            <color indexed="81"/>
            <rFont val="Tahoma"/>
            <charset val="1"/>
          </rPr>
          <t xml:space="preserve">
Assign score base   
score &gt; 90
Allow certificate
&lt;90 
No Allow certificate </t>
        </r>
      </text>
    </comment>
    <comment ref="AG1" authorId="0" shapeId="0" xr:uid="{4CEA50EE-EF49-4F07-A7D0-F129715DAC6F}">
      <text>
        <r>
          <rPr>
            <b/>
            <sz val="9"/>
            <color indexed="81"/>
            <rFont val="Tahoma"/>
            <charset val="1"/>
          </rPr>
          <t>Ganesh:</t>
        </r>
        <r>
          <rPr>
            <sz val="9"/>
            <color indexed="81"/>
            <rFont val="Tahoma"/>
            <charset val="1"/>
          </rPr>
          <t xml:space="preserve">
Extracurriculam Yes then result is Active 
No = Not Active </t>
        </r>
      </text>
    </comment>
    <comment ref="AH1" authorId="0" shapeId="0" xr:uid="{12055BA1-26B3-4EE6-AC80-C206200077F6}">
      <text>
        <r>
          <rPr>
            <b/>
            <sz val="9"/>
            <color indexed="81"/>
            <rFont val="Tahoma"/>
            <charset val="1"/>
          </rPr>
          <t>Ganesh:</t>
        </r>
        <r>
          <rPr>
            <sz val="9"/>
            <color indexed="81"/>
            <rFont val="Tahoma"/>
            <charset val="1"/>
          </rPr>
          <t xml:space="preserve">
This studen parent are Graduate = Educated Parent 
Other 
</t>
        </r>
      </text>
    </comment>
    <comment ref="AI1" authorId="0" shapeId="0" xr:uid="{DCA2B673-4789-4827-A3D9-A2AEE432B1E5}">
      <text>
        <r>
          <rPr>
            <b/>
            <sz val="9"/>
            <color indexed="81"/>
            <rFont val="Tahoma"/>
            <charset val="1"/>
          </rPr>
          <t>Ganesh:</t>
        </r>
        <r>
          <rPr>
            <sz val="9"/>
            <color indexed="81"/>
            <rFont val="Tahoma"/>
            <charset val="1"/>
          </rPr>
          <t xml:space="preserve">
this student are assignment score &lt; 70 "Need Practice " , "OK"
</t>
        </r>
      </text>
    </comment>
    <comment ref="AJ1" authorId="0" shapeId="0" xr:uid="{71E556CC-3CEA-45BD-B6A4-F809331A6521}">
      <text>
        <r>
          <rPr>
            <b/>
            <sz val="9"/>
            <color indexed="81"/>
            <rFont val="Tahoma"/>
            <charset val="1"/>
          </rPr>
          <t>Ganesh:</t>
        </r>
        <r>
          <rPr>
            <sz val="9"/>
            <color indexed="81"/>
            <rFont val="Tahoma"/>
            <charset val="1"/>
          </rPr>
          <t xml:space="preserve">
 Combine Name and Class 
</t>
        </r>
      </text>
    </comment>
    <comment ref="AK1" authorId="0" shapeId="0" xr:uid="{9F47B3FE-FC4C-42D8-91D2-176E951F24EB}">
      <text>
        <r>
          <rPr>
            <b/>
            <sz val="9"/>
            <color indexed="81"/>
            <rFont val="Tahoma"/>
            <charset val="1"/>
          </rPr>
          <t>Ganesh:</t>
        </r>
        <r>
          <rPr>
            <sz val="9"/>
            <color indexed="81"/>
            <rFont val="Tahoma"/>
            <charset val="1"/>
          </rPr>
          <t xml:space="preserve">
Extract Full name in last name Extract 
</t>
        </r>
      </text>
    </comment>
    <comment ref="AM1" authorId="0" shapeId="0" xr:uid="{A4209AC6-7093-46A0-A42D-1EB30436FF7C}">
      <text>
        <r>
          <rPr>
            <b/>
            <sz val="9"/>
            <color indexed="81"/>
            <rFont val="Tahoma"/>
            <charset val="1"/>
          </rPr>
          <t>Ganesh:</t>
        </r>
        <r>
          <rPr>
            <sz val="9"/>
            <color indexed="81"/>
            <rFont val="Tahoma"/>
            <charset val="1"/>
          </rPr>
          <t xml:space="preserve">
Find length of student name </t>
        </r>
      </text>
    </comment>
    <comment ref="AS160" authorId="0" shapeId="0" xr:uid="{13BAA274-AB38-4619-8D98-609BA2AD4B29}">
      <text>
        <r>
          <rPr>
            <b/>
            <sz val="9"/>
            <color indexed="81"/>
            <rFont val="Tahoma"/>
            <charset val="1"/>
          </rPr>
          <t>Ganesh:</t>
        </r>
        <r>
          <rPr>
            <sz val="9"/>
            <color indexed="81"/>
            <rFont val="Tahoma"/>
            <charset val="1"/>
          </rPr>
          <t xml:space="preserve">
Percentage Score 
</t>
        </r>
      </text>
    </comment>
    <comment ref="AS167" authorId="0" shapeId="0" xr:uid="{5FC9ED20-B4B5-4C86-AF2F-4723A53BADA2}">
      <text>
        <r>
          <rPr>
            <b/>
            <sz val="9"/>
            <color indexed="81"/>
            <rFont val="Tahoma"/>
            <charset val="1"/>
          </rPr>
          <t>Ganesh:</t>
        </r>
        <r>
          <rPr>
            <sz val="9"/>
            <color indexed="81"/>
            <rFont val="Tahoma"/>
            <charset val="1"/>
          </rPr>
          <t xml:space="preserve">
Convrted Percentage Format</t>
        </r>
      </text>
    </comment>
    <comment ref="AS173" authorId="0" shapeId="0" xr:uid="{DEC9D00B-5BAC-4F5B-877E-72DC09471ED0}">
      <text>
        <r>
          <rPr>
            <b/>
            <sz val="9"/>
            <color indexed="81"/>
            <rFont val="Tahoma"/>
            <charset val="1"/>
          </rPr>
          <t>Ganesh:</t>
        </r>
        <r>
          <rPr>
            <sz val="9"/>
            <color indexed="81"/>
            <rFont val="Tahoma"/>
            <charset val="1"/>
          </rPr>
          <t xml:space="preserve">
Name Wise attendance find </t>
        </r>
      </text>
    </comment>
    <comment ref="AS192" authorId="0" shapeId="0" xr:uid="{B992D748-CC7B-40B8-90D8-BAF6322BA662}">
      <text>
        <r>
          <rPr>
            <b/>
            <sz val="9"/>
            <color indexed="81"/>
            <rFont val="Tahoma"/>
            <charset val="1"/>
          </rPr>
          <t>Ganesh:</t>
        </r>
        <r>
          <rPr>
            <sz val="9"/>
            <color indexed="81"/>
            <rFont val="Tahoma"/>
            <charset val="1"/>
          </rPr>
          <t xml:space="preserve">
Lookup value 
10 = A
20 = B
30 = C
40 = d
50 =F
</t>
        </r>
      </text>
    </comment>
    <comment ref="AS205" authorId="0" shapeId="0" xr:uid="{49BB0153-80F0-4F04-83A6-92C897170712}">
      <text>
        <r>
          <rPr>
            <b/>
            <sz val="9"/>
            <color indexed="81"/>
            <rFont val="Tahoma"/>
            <charset val="1"/>
          </rPr>
          <t>Ganesh:</t>
        </r>
        <r>
          <rPr>
            <sz val="9"/>
            <color indexed="81"/>
            <rFont val="Tahoma"/>
            <charset val="1"/>
          </rPr>
          <t xml:space="preserve">
Find ID Base Student name Index + match</t>
        </r>
      </text>
    </comment>
    <comment ref="AS227" authorId="0" shapeId="0" xr:uid="{EA704ACB-E4D9-42B3-AC65-A038FECDEC9B}">
      <text>
        <r>
          <rPr>
            <b/>
            <sz val="9"/>
            <color indexed="81"/>
            <rFont val="Tahoma"/>
            <charset val="1"/>
          </rPr>
          <t>Ganesh:</t>
        </r>
        <r>
          <rPr>
            <sz val="9"/>
            <color indexed="81"/>
            <rFont val="Tahoma"/>
            <charset val="1"/>
          </rPr>
          <t xml:space="preserve">
Find of attendance Av
Average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<sst xmlns="http://schemas.openxmlformats.org/spreadsheetml/2006/main" count="1065" uniqueCount="265">
  <si>
    <t>StudentID</t>
  </si>
  <si>
    <t>Name</t>
  </si>
  <si>
    <t>Age</t>
  </si>
  <si>
    <t>Gender</t>
  </si>
  <si>
    <t>Class</t>
  </si>
  <si>
    <t>Section</t>
  </si>
  <si>
    <t>Attendance %</t>
  </si>
  <si>
    <t>Assignments Avg</t>
  </si>
  <si>
    <t>Midterm Score</t>
  </si>
  <si>
    <t>Final Exam Score</t>
  </si>
  <si>
    <t>Project Score</t>
  </si>
  <si>
    <t>Participation</t>
  </si>
  <si>
    <t>Study Hours</t>
  </si>
  <si>
    <t>Extracurricular</t>
  </si>
  <si>
    <t>Parent Education</t>
  </si>
  <si>
    <t>Socio-Economic</t>
  </si>
  <si>
    <t>Final Score</t>
  </si>
  <si>
    <t>Grade</t>
  </si>
  <si>
    <t>Result</t>
  </si>
  <si>
    <t>Male</t>
  </si>
  <si>
    <t>A</t>
  </si>
  <si>
    <t>Yes</t>
  </si>
  <si>
    <t>Graduate</t>
  </si>
  <si>
    <t>Middle</t>
  </si>
  <si>
    <t>Pass</t>
  </si>
  <si>
    <t>Female</t>
  </si>
  <si>
    <t>Postgraduate</t>
  </si>
  <si>
    <t>High</t>
  </si>
  <si>
    <t>A+</t>
  </si>
  <si>
    <t>B</t>
  </si>
  <si>
    <t>No</t>
  </si>
  <si>
    <t>Secondary</t>
  </si>
  <si>
    <t>C</t>
  </si>
  <si>
    <t>Low</t>
  </si>
  <si>
    <t>D</t>
  </si>
  <si>
    <t>Fail</t>
  </si>
  <si>
    <t>F</t>
  </si>
  <si>
    <t>Aarav</t>
  </si>
  <si>
    <t>Sharma</t>
  </si>
  <si>
    <t>Ananya</t>
  </si>
  <si>
    <t>Patel</t>
  </si>
  <si>
    <t>Rohan</t>
  </si>
  <si>
    <t>Singh</t>
  </si>
  <si>
    <t>Priya</t>
  </si>
  <si>
    <t>Verma</t>
  </si>
  <si>
    <t>Vivaan</t>
  </si>
  <si>
    <t>Mehta</t>
  </si>
  <si>
    <t>Isha</t>
  </si>
  <si>
    <t>Gupta</t>
  </si>
  <si>
    <t>Aditya</t>
  </si>
  <si>
    <t>Kumar</t>
  </si>
  <si>
    <t>Diya</t>
  </si>
  <si>
    <t>Shah</t>
  </si>
  <si>
    <t>Arjun</t>
  </si>
  <si>
    <t>Joshi</t>
  </si>
  <si>
    <t>Meera</t>
  </si>
  <si>
    <t>Nair</t>
  </si>
  <si>
    <t>Kabir</t>
  </si>
  <si>
    <t>Desai</t>
  </si>
  <si>
    <t>Saanvi</t>
  </si>
  <si>
    <t>Rao</t>
  </si>
  <si>
    <t>Reyansh</t>
  </si>
  <si>
    <t>Kapoor</t>
  </si>
  <si>
    <t>Aanya</t>
  </si>
  <si>
    <t>Malhotra</t>
  </si>
  <si>
    <t>Atharv</t>
  </si>
  <si>
    <t>Kulkarni</t>
  </si>
  <si>
    <t>Kiara</t>
  </si>
  <si>
    <t>Choudhary</t>
  </si>
  <si>
    <t>Dev</t>
  </si>
  <si>
    <t>Mishra</t>
  </si>
  <si>
    <t>Myra</t>
  </si>
  <si>
    <t>Iyer</t>
  </si>
  <si>
    <t>Krish</t>
  </si>
  <si>
    <t>Yadav</t>
  </si>
  <si>
    <t>Navya</t>
  </si>
  <si>
    <t>Sethi</t>
  </si>
  <si>
    <t>Ayush</t>
  </si>
  <si>
    <t>Thakur</t>
  </si>
  <si>
    <t>Tara</t>
  </si>
  <si>
    <t>Bansal</t>
  </si>
  <si>
    <t>Yuvaan</t>
  </si>
  <si>
    <t>Jain</t>
  </si>
  <si>
    <t>Anvi</t>
  </si>
  <si>
    <t>Agarwal</t>
  </si>
  <si>
    <t>Manav</t>
  </si>
  <si>
    <t>Saxena</t>
  </si>
  <si>
    <t>Riya</t>
  </si>
  <si>
    <t>Menon</t>
  </si>
  <si>
    <t>Harsh</t>
  </si>
  <si>
    <t>Vora</t>
  </si>
  <si>
    <t>Shanaya</t>
  </si>
  <si>
    <t>Arora</t>
  </si>
  <si>
    <t>Om</t>
  </si>
  <si>
    <t>Patil</t>
  </si>
  <si>
    <t>Siya</t>
  </si>
  <si>
    <t>Dhruv</t>
  </si>
  <si>
    <t>Reddy</t>
  </si>
  <si>
    <t>Pari</t>
  </si>
  <si>
    <t>Deshmukh</t>
  </si>
  <si>
    <t>Rudra</t>
  </si>
  <si>
    <t>Bose</t>
  </si>
  <si>
    <t>Aadhya</t>
  </si>
  <si>
    <t>Sinha</t>
  </si>
  <si>
    <t>Veer</t>
  </si>
  <si>
    <t>Chawla</t>
  </si>
  <si>
    <t>Samaira</t>
  </si>
  <si>
    <t>Khan</t>
  </si>
  <si>
    <t>Arnav</t>
  </si>
  <si>
    <t>Goyal</t>
  </si>
  <si>
    <t>Zara</t>
  </si>
  <si>
    <t>Sheikh</t>
  </si>
  <si>
    <t>Kartik</t>
  </si>
  <si>
    <t>Soni</t>
  </si>
  <si>
    <t>Ahana</t>
  </si>
  <si>
    <t>Dutta</t>
  </si>
  <si>
    <t>Raghav</t>
  </si>
  <si>
    <t>Bhat</t>
  </si>
  <si>
    <t>Anika</t>
  </si>
  <si>
    <t>Paul</t>
  </si>
  <si>
    <t>Shivansh</t>
  </si>
  <si>
    <t>Tiwari</t>
  </si>
  <si>
    <t>Anushka</t>
  </si>
  <si>
    <t>Roy</t>
  </si>
  <si>
    <t>Viraj</t>
  </si>
  <si>
    <t>Bhatt</t>
  </si>
  <si>
    <t>Ishita</t>
  </si>
  <si>
    <t>Das</t>
  </si>
  <si>
    <t>Parth</t>
  </si>
  <si>
    <t>Pandey</t>
  </si>
  <si>
    <t>Alisha</t>
  </si>
  <si>
    <t>Fernandes</t>
  </si>
  <si>
    <t>Neil</t>
  </si>
  <si>
    <t>Thomas</t>
  </si>
  <si>
    <t>Muskaan</t>
  </si>
  <si>
    <t>Samar</t>
  </si>
  <si>
    <t>Avika</t>
  </si>
  <si>
    <t>Ansh</t>
  </si>
  <si>
    <t>Shreyansh</t>
  </si>
  <si>
    <t>Riddhi</t>
  </si>
  <si>
    <t>Advik</t>
  </si>
  <si>
    <t>Shruti</t>
  </si>
  <si>
    <t>Pranav</t>
  </si>
  <si>
    <t>Aarohi</t>
  </si>
  <si>
    <t>Sameer</t>
  </si>
  <si>
    <t>Trisha</t>
  </si>
  <si>
    <t>Ronit</t>
  </si>
  <si>
    <t>Mahi</t>
  </si>
  <si>
    <t>Abhinav</t>
  </si>
  <si>
    <t>Yash</t>
  </si>
  <si>
    <t>Kavya</t>
  </si>
  <si>
    <t>Ritvik</t>
  </si>
  <si>
    <t>Saachi</t>
  </si>
  <si>
    <t>Adwait</t>
  </si>
  <si>
    <t>Ira</t>
  </si>
  <si>
    <t>Krishiv</t>
  </si>
  <si>
    <t>Mehra</t>
  </si>
  <si>
    <t>Reva</t>
  </si>
  <si>
    <t>Manan</t>
  </si>
  <si>
    <t>Nandini</t>
  </si>
  <si>
    <t>Armaan</t>
  </si>
  <si>
    <t>Aaradhya</t>
  </si>
  <si>
    <t>Tejas</t>
  </si>
  <si>
    <t>Simran</t>
  </si>
  <si>
    <t>Kaur</t>
  </si>
  <si>
    <t>Rajveer</t>
  </si>
  <si>
    <t>Devansh</t>
  </si>
  <si>
    <t>Suhani</t>
  </si>
  <si>
    <t>Anaya</t>
  </si>
  <si>
    <t>Meher</t>
  </si>
  <si>
    <t>Vihaan</t>
  </si>
  <si>
    <t>Shlok</t>
  </si>
  <si>
    <t>Ruhi</t>
  </si>
  <si>
    <t>Banerjee</t>
  </si>
  <si>
    <t>Ayaan</t>
  </si>
  <si>
    <t>Prisha</t>
  </si>
  <si>
    <t>Shivam</t>
  </si>
  <si>
    <t>Sia</t>
  </si>
  <si>
    <t>Akshay</t>
  </si>
  <si>
    <t>Rane</t>
  </si>
  <si>
    <t>Rehan</t>
  </si>
  <si>
    <t>Ali</t>
  </si>
  <si>
    <t>Ishaan</t>
  </si>
  <si>
    <t>Last_Name</t>
  </si>
  <si>
    <t xml:space="preserve">Frist_Name </t>
  </si>
  <si>
    <t>Overall_Score</t>
  </si>
  <si>
    <t xml:space="preserve"> Find average final score of class “10th”</t>
  </si>
  <si>
    <t xml:space="preserve"> </t>
  </si>
  <si>
    <t xml:space="preserve">Count how many students Passed  &amp; Fail </t>
  </si>
  <si>
    <t>Count Male vs Female students</t>
  </si>
  <si>
    <t xml:space="preserve">Male </t>
  </si>
  <si>
    <t xml:space="preserve">Female </t>
  </si>
  <si>
    <t xml:space="preserve">Find highest and lowest Final Score </t>
  </si>
  <si>
    <t>MAX</t>
  </si>
  <si>
    <t>MIN</t>
  </si>
  <si>
    <t xml:space="preserve"> Attendance &amp; Final_Score Grade </t>
  </si>
  <si>
    <t xml:space="preserve">Final_Score - Midtern </t>
  </si>
  <si>
    <t>ID</t>
  </si>
  <si>
    <t>Project_Score</t>
  </si>
  <si>
    <t xml:space="preserve">Use XLOOKUP to find Final Score by Name </t>
  </si>
  <si>
    <t xml:space="preserve">Final_Score </t>
  </si>
  <si>
    <t xml:space="preserve">Final_Score_Grade </t>
  </si>
  <si>
    <t>Row Labels</t>
  </si>
  <si>
    <t>Grand Total</t>
  </si>
  <si>
    <t>Average of Final Score</t>
  </si>
  <si>
    <t>Finding Class Wise Average Final_Score</t>
  </si>
  <si>
    <t>Column Labels</t>
  </si>
  <si>
    <t>Count of StudentID</t>
  </si>
  <si>
    <t>Find a Pass and Fail Count Per Section</t>
  </si>
  <si>
    <t xml:space="preserve">Find a Average attendance by Gender </t>
  </si>
  <si>
    <t>Average of Attendance %</t>
  </si>
  <si>
    <t>Count of Grade</t>
  </si>
  <si>
    <t>Count OF Grade Wise Distribution</t>
  </si>
  <si>
    <t>Gender Distribution</t>
  </si>
  <si>
    <t xml:space="preserve">Find a Fass &amp; Fail Count </t>
  </si>
  <si>
    <t>KPI</t>
  </si>
  <si>
    <t>Overall Avg Score =</t>
  </si>
  <si>
    <t xml:space="preserve">Total At-Risk Student </t>
  </si>
  <si>
    <t xml:space="preserve">Total Student </t>
  </si>
  <si>
    <t xml:space="preserve"> Find 5 number Top Score </t>
  </si>
  <si>
    <t xml:space="preserve">top 5 number score </t>
  </si>
  <si>
    <t xml:space="preserve">Calculate Total Score = Midterm + Final + Project </t>
  </si>
  <si>
    <t>Midterm</t>
  </si>
  <si>
    <t>Final_Score</t>
  </si>
  <si>
    <t>Total</t>
  </si>
  <si>
    <t>Sum of Final_Score</t>
  </si>
  <si>
    <t xml:space="preserve"> Calculate Percentage Score (out of 100) </t>
  </si>
  <si>
    <t>Percentage_Score</t>
  </si>
  <si>
    <t xml:space="preserve">Convert percentage into text format </t>
  </si>
  <si>
    <t>Study_Hour_Category</t>
  </si>
  <si>
    <t>Final_Score_Category_ADD_5_Points</t>
  </si>
  <si>
    <t xml:space="preserve">Final_Score category </t>
  </si>
  <si>
    <t xml:space="preserve">Score &amp; attendance_Category  </t>
  </si>
  <si>
    <t>Gender_Lable_Category</t>
  </si>
  <si>
    <t>Certificate_Category</t>
  </si>
  <si>
    <t>Extracurricular_Category</t>
  </si>
  <si>
    <t>Parent_Education_Category</t>
  </si>
  <si>
    <t xml:space="preserve">Assignment_Category </t>
  </si>
  <si>
    <t xml:space="preserve">vLookup Project Score using StudentID  </t>
  </si>
  <si>
    <t xml:space="preserve">Attendance </t>
  </si>
  <si>
    <t xml:space="preserve">Use XLOOKUP to find Attendance of name base  </t>
  </si>
  <si>
    <t xml:space="preserve">Find Student ID a given for a  Project Score </t>
  </si>
  <si>
    <t>Positions</t>
  </si>
  <si>
    <t xml:space="preserve"> Find  student name position </t>
  </si>
  <si>
    <t xml:space="preserve">LOOKUP grade based on score scale </t>
  </si>
  <si>
    <t xml:space="preserve">value 10 To 50 </t>
  </si>
  <si>
    <t xml:space="preserve">Grade </t>
  </si>
  <si>
    <t xml:space="preserve"> Match student name position</t>
  </si>
  <si>
    <t xml:space="preserve">Name </t>
  </si>
  <si>
    <t>Position</t>
  </si>
  <si>
    <t xml:space="preserve"> Return student name by StudentID using INDEX+MATCH </t>
  </si>
  <si>
    <t>Use MATCH to find Final Score Row number Find ing</t>
  </si>
  <si>
    <t xml:space="preserve"> Use INDEX to Find 5 number postion student name finding</t>
  </si>
  <si>
    <t xml:space="preserve">Use XLOOKUP to find Section on Name Based </t>
  </si>
  <si>
    <t xml:space="preserve">Index </t>
  </si>
  <si>
    <t>Combine Name and Class</t>
  </si>
  <si>
    <t xml:space="preserve">Full Name </t>
  </si>
  <si>
    <t>Extract Last Name</t>
  </si>
  <si>
    <t>Extract First Name</t>
  </si>
  <si>
    <t xml:space="preserve"> length of student Frist Name</t>
  </si>
  <si>
    <t xml:space="preserve"> Find average of attendance </t>
  </si>
  <si>
    <t xml:space="preserve"> Standard deviation of Final Scores </t>
  </si>
  <si>
    <t xml:space="preserve"> Count OF female students </t>
  </si>
  <si>
    <t xml:space="preserve">Total  Male count = </t>
  </si>
  <si>
    <t xml:space="preserve">Total Female Count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</si>
</sst>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9"/>
      <color indexed="81"/>
      <name val="Tahoma"/>
      <charset val="1"/>
    </font>
    <font>
      <b/>
      <sz val="9"/>
      <color indexed="81"/>
      <name val="Tahoma"/>
      <charset val="1"/>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center"/>
    </xf>
    <xf numFmtId="0" fontId="0" fillId="0" borderId="0" xfId="0" pivotButton="1"/>
    <xf numFmtId="0" fontId="0" fillId="0" borderId="0" xfId="0" applyAlignment="1">
      <alignment horizontal="left"/>
    </xf>
    <xf numFmtId="0" fontId="0" fillId="0" borderId="0" xfId="0" applyAlignment="1">
      <alignment horizontal="center" vertical="center"/>
    </xf>
    <xf numFmtId="0" fontId="0" fillId="2" borderId="0" xfId="0" applyFill="1" applyAlignment="1">
      <alignment horizontal="center"/>
    </xf>
    <xf numFmtId="0" fontId="0" fillId="0" borderId="0" xfId="0" applyAlignment="1">
      <alignment horizontal="center"/>
    </xf>
  </cellXfs>
  <cellStyles count="1">
    <cellStyle name="Normal" xfId="0" builtinId="0"/>
  </cellStyles>
  <dxfs count="22">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general"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colors>
    <mruColors>
      <color rgb="FF37160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13" Type="http://schemas.microsoft.com/office/2017/10/relationships/person" Target="persons/person.xml"/><Relationship Id="rId3" Type="http://schemas.openxmlformats.org/officeDocument/2006/relationships/pivotCacheDefinition" Target="pivotCache/pivotCacheDefinition1.xml"/><Relationship Id="rId7" Type="http://schemas.microsoft.com/office/2007/relationships/slicerCache" Target="slicerCaches/slicerCache4.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haredStrings" Target="sharedStrings.xml"/><Relationship Id="rId5" Type="http://schemas.microsoft.com/office/2007/relationships/slicerCache" Target="slicerCaches/slicerCache2.xml"/><Relationship Id="rId10" Type="http://schemas.openxmlformats.org/officeDocument/2006/relationships/styles" Target="styles.xml"/><Relationship Id="rId4" Type="http://schemas.microsoft.com/office/2007/relationships/slicerCache" Target="slicerCaches/slicerCache1.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[Student_Performance_Projects.xlsx]Student !PivotTable1</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Class - Avg_Score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'Student '!$AQ$38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'Student '!$AP$39:$AP$42</c:f>
              <c:strCache>
                <c:ptCount val="3"/>
                <c:pt idx="0">
                  <c:v>10</c:v>
                </c:pt>
                <c:pt idx="1">
                  <c:v>11</c:v>
                </c:pt>
                <c:pt idx="2">
                  <c:v>12</c:v>
                </c:pt>
              </c:strCache>
            </c:strRef>
          </c:cat>
          <c:val>
            <c:numRef>
              <c:f>'Student '!$AQ$39:$AQ$42</c:f>
              <c:numCache>
                <c:formatCode>General</c:formatCode>
                <c:ptCount val="3"/>
                <c:pt idx="0">
                  <c:v>70.666666666666671</c:v>
                </c:pt>
                <c:pt idx="1">
                  <c:v>70.5</c:v>
                </c:pt>
                <c:pt idx="2">
                  <c:v>61.363636363636367</c:v>
                </c:pt>
              </c:numCache>
            </c:numRef>
          </c:val>
          <c:extLst>
            <c:ext xmlns:c16="http://schemas.microsoft.com/office/drawing/2014/chart" uri="{C3380CC4-5D6E-409C-BE32-E72D297353CC}">
              <c16:uniqueId val="{00000000-4710-413C-A661-1E5169608570}"/>
            </c:ext>
          </c:extLst>
        </c:ser>
        <c:dLbls>
          <c:showLegendKey val="0"/>
          <c:showVal val="1"/>
          <c:showCatName val="0"/>
          <c:showSerName val="0"/>
          <c:showPercent val="0"/>
          <c:showBubbleSize val="0"/>
        </c:dLbls>
        <c:gapWidth val="150"/>
        <c:shape val="box"/>
        <c:axId val="1177803487"/>
        <c:axId val="1177803967"/>
        <c:axId val="0"/>
      </c:bar3DChart>
      <c:catAx>
        <c:axId val="1177803487"/>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Class</a:t>
                </a:r>
              </a:p>
            </c:rich>
          </c:tx>
          <c:layout>
            <c:manualLayout>
              <c:xMode val="edge"/>
              <c:yMode val="edge"/>
              <c:x val="0.38770043628754619"/>
              <c:y val="0.81632204154781152"/>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7803967"/>
        <c:crosses val="autoZero"/>
        <c:auto val="1"/>
        <c:lblAlgn val="ctr"/>
        <c:lblOffset val="100"/>
        <c:noMultiLvlLbl val="0"/>
      </c:catAx>
      <c:valAx>
        <c:axId val="1177803967"/>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Final_Score</a:t>
                </a:r>
              </a:p>
            </c:rich>
          </c:tx>
          <c:layout>
            <c:manualLayout>
              <c:xMode val="edge"/>
              <c:yMode val="edge"/>
              <c:x val="6.2886666386562901E-2"/>
              <c:y val="0.4049925729233762"/>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7803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[Student_Performance_Projects.xlsx]Student !PivotTable3</c:name>
    <c:fmtId val="5"/>
  </c:pivotSource>
  <c:chart>
    <c:title>
      <c:tx>
        <c:rich>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r>
              <a:rPr lang="en-US" sz="1600"/>
              <a:t>Attendance - Male &amp;</a:t>
            </a:r>
            <a:r>
              <a:rPr lang="en-US" sz="1600" baseline="0"/>
              <a:t> Fmale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'Student '!$AQ$66</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'Student '!$AP$67:$AP$69</c:f>
              <c:strCache>
                <c:ptCount val="2"/>
                <c:pt idx="0">
                  <c:v>Female</c:v>
                </c:pt>
                <c:pt idx="1">
                  <c:v>Male</c:v>
                </c:pt>
              </c:strCache>
            </c:strRef>
          </c:cat>
          <c:val>
            <c:numRef>
              <c:f>'Student '!$AQ$67:$AQ$69</c:f>
              <c:numCache>
                <c:formatCode>General</c:formatCode>
                <c:ptCount val="2"/>
                <c:pt idx="0">
                  <c:v>88.755102040816325</c:v>
                </c:pt>
                <c:pt idx="1">
                  <c:v>74.921568627450981</c:v>
                </c:pt>
              </c:numCache>
            </c:numRef>
          </c:val>
          <c:extLst>
            <c:ext xmlns:c16="http://schemas.microsoft.com/office/drawing/2014/chart" uri="{C3380CC4-5D6E-409C-BE32-E72D297353CC}">
              <c16:uniqueId val="{00000000-BE1A-4C9F-9EF0-255A69645889}"/>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92232047"/>
        <c:axId val="92229167"/>
      </c:areaChart>
      <c:catAx>
        <c:axId val="92232047"/>
        <c:scaling>
          <c:orientation val="minMax"/>
        </c:scaling>
        <c:delete val="0"/>
        <c:axPos val="b"/>
        <c:title>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92229167"/>
        <c:crosses val="autoZero"/>
        <c:auto val="1"/>
        <c:lblAlgn val="ctr"/>
        <c:lblOffset val="100"/>
        <c:noMultiLvlLbl val="0"/>
      </c:catAx>
      <c:valAx>
        <c:axId val="92229167"/>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title>
          <c:overlay val="0"/>
          <c:spPr>
            <a:noFill/>
            <a:ln>
              <a:noFill/>
            </a:ln>
            <a:effectLst/>
          </c:spPr>
          <c:txPr>
            <a:bodyPr rot="-54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223204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[Student_Performance_Projects.xlsx]Student !PivotTable5</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Gender - Distribution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'Student '!$AQ$96</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7981-4DBA-A471-96419DC029B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7981-4DBA-A471-96419DC029B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'Student '!$AP$97:$AP$99</c:f>
              <c:strCache>
                <c:ptCount val="2"/>
                <c:pt idx="0">
                  <c:v>Female</c:v>
                </c:pt>
                <c:pt idx="1">
                  <c:v>Male</c:v>
                </c:pt>
              </c:strCache>
            </c:strRef>
          </c:cat>
          <c:val>
            <c:numRef>
              <c:f>'Student '!$AQ$97:$AQ$99</c:f>
              <c:numCache>
                <c:formatCode>General</c:formatCode>
                <c:ptCount val="2"/>
                <c:pt idx="0">
                  <c:v>49</c:v>
                </c:pt>
                <c:pt idx="1">
                  <c:v>51</c:v>
                </c:pt>
              </c:numCache>
            </c:numRef>
          </c:val>
          <c:extLst>
            <c:ext xmlns:c16="http://schemas.microsoft.com/office/drawing/2014/chart" uri="{C3380CC4-5D6E-409C-BE32-E72D297353CC}">
              <c16:uniqueId val="{00000000-65E7-4B3B-9009-353A04D006D7}"/>
            </c:ext>
          </c:extLst>
        </c:ser>
        <c:dLbls>
          <c:dLblPos val="ctr"/>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[Student_Performance_Projects.xlsx]Student !PivotTable6</c:name>
    <c:fmtId val="2"/>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Result - Count </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'Student '!$AS$113</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'Student '!$AR$114:$AR$116</c:f>
              <c:strCache>
                <c:ptCount val="2"/>
                <c:pt idx="0">
                  <c:v>Fail</c:v>
                </c:pt>
                <c:pt idx="1">
                  <c:v>Pass</c:v>
                </c:pt>
              </c:strCache>
            </c:strRef>
          </c:cat>
          <c:val>
            <c:numRef>
              <c:f>'Student '!$AS$114:$AS$116</c:f>
              <c:numCache>
                <c:formatCode>General</c:formatCode>
                <c:ptCount val="2"/>
                <c:pt idx="0">
                  <c:v>25</c:v>
                </c:pt>
                <c:pt idx="1">
                  <c:v>75</c:v>
                </c:pt>
              </c:numCache>
            </c:numRef>
          </c:val>
          <c:extLst>
            <c:ext xmlns:c16="http://schemas.microsoft.com/office/drawing/2014/chart" uri="{C3380CC4-5D6E-409C-BE32-E72D297353CC}">
              <c16:uniqueId val="{00000000-81E0-48A9-AD70-C5DB3B1E9A55}"/>
            </c:ext>
          </c:extLst>
        </c:ser>
        <c:dLbls>
          <c:showLegendKey val="0"/>
          <c:showVal val="1"/>
          <c:showCatName val="0"/>
          <c:showSerName val="0"/>
          <c:showPercent val="0"/>
          <c:showBubbleSize val="0"/>
        </c:dLbls>
        <c:gapWidth val="84"/>
        <c:gapDepth val="53"/>
        <c:shape val="box"/>
        <c:axId val="762407359"/>
        <c:axId val="762409279"/>
        <c:axId val="0"/>
      </c:bar3DChart>
      <c:catAx>
        <c:axId val="762407359"/>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r>
                  <a:rPr lang="en-IN"/>
                  <a:t>Result</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62409279"/>
        <c:crosses val="autoZero"/>
        <c:auto val="1"/>
        <c:lblAlgn val="ctr"/>
        <c:lblOffset val="100"/>
        <c:noMultiLvlLbl val="0"/>
      </c:catAx>
      <c:valAx>
        <c:axId val="762409279"/>
        <c:scaling>
          <c:orientation val="minMax"/>
        </c:scaling>
        <c:delete val="1"/>
        <c:axPos val="l"/>
        <c:title>
          <c:overlay val="0"/>
          <c:spPr>
            <a:noFill/>
            <a:ln>
              <a:noFill/>
            </a:ln>
            <a:effectLst/>
          </c:spPr>
          <c:txPr>
            <a:bodyPr rot="-54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itle>
        <c:numFmt formatCode="General" sourceLinked="1"/>
        <c:majorTickMark val="out"/>
        <c:minorTickMark val="none"/>
        <c:tickLblPos val="nextTo"/>
        <c:crossAx val="762407359"/>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[Student_Performance_Projects.xlsx]Student !PivotTable4</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Grade Count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'Student '!$AQ$80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'Student '!$AP$81:$AP$87</c:f>
              <c:strCache>
                <c:ptCount val="6"/>
                <c:pt idx="0">
                  <c:v>A</c:v>
                </c:pt>
                <c:pt idx="1">
                  <c:v>A+</c:v>
                </c:pt>
                <c:pt idx="2">
                  <c:v>B</c:v>
                </c:pt>
                <c:pt idx="3">
                  <c:v>C</c:v>
                </c:pt>
                <c:pt idx="4">
                  <c:v>D</c:v>
                </c:pt>
                <c:pt idx="5">
                  <c:v>F</c:v>
                </c:pt>
              </c:strCache>
            </c:strRef>
          </c:cat>
          <c:val>
            <c:numRef>
              <c:f>'Student '!$AQ$81:$AQ$87</c:f>
              <c:numCache>
                <c:formatCode>General</c:formatCode>
                <c:ptCount val="6"/>
                <c:pt idx="0">
                  <c:v>16</c:v>
                </c:pt>
                <c:pt idx="1">
                  <c:v>19</c:v>
                </c:pt>
                <c:pt idx="2">
                  <c:v>25</c:v>
                </c:pt>
                <c:pt idx="3">
                  <c:v>15</c:v>
                </c:pt>
                <c:pt idx="4">
                  <c:v>19</c:v>
                </c:pt>
                <c:pt idx="5">
                  <c:v>6</c:v>
                </c:pt>
              </c:numCache>
            </c:numRef>
          </c:val>
          <c:extLst>
            <c:ext xmlns:c16="http://schemas.microsoft.com/office/drawing/2014/chart" uri="{C3380CC4-5D6E-409C-BE32-E72D297353CC}">
              <c16:uniqueId val="{00000000-E336-4A40-996F-D9F2DA78ECEC}"/>
            </c:ext>
          </c:extLst>
        </c:ser>
        <c:dLbls>
          <c:showLegendKey val="0"/>
          <c:showVal val="1"/>
          <c:showCatName val="0"/>
          <c:showSerName val="0"/>
          <c:showPercent val="0"/>
          <c:showBubbleSize val="0"/>
        </c:dLbls>
        <c:gapWidth val="150"/>
        <c:shape val="box"/>
        <c:axId val="632162943"/>
        <c:axId val="632149023"/>
        <c:axId val="0"/>
      </c:bar3DChart>
      <c:catAx>
        <c:axId val="632162943"/>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Grade</a:t>
                </a:r>
              </a:p>
            </c:rich>
          </c:tx>
          <c:layout>
            <c:manualLayout>
              <c:xMode val="edge"/>
              <c:yMode val="edge"/>
              <c:x val="0.44040463692038501"/>
              <c:y val="0.8183850976961213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2149023"/>
        <c:crosses val="autoZero"/>
        <c:auto val="1"/>
        <c:lblAlgn val="ctr"/>
        <c:lblOffset val="100"/>
        <c:noMultiLvlLbl val="0"/>
      </c:catAx>
      <c:valAx>
        <c:axId val="632149023"/>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count</a:t>
                </a:r>
              </a:p>
              <a:p>
                <a:pPr>
                  <a:defRPr/>
                </a:pPr>
                <a:endParaRPr lang="en-IN"/>
              </a:p>
            </c:rich>
          </c:tx>
          <c:layout>
            <c:manualLayout>
              <c:xMode val="edge"/>
              <c:yMode val="edge"/>
              <c:x val="4.7890857392825899E-2"/>
              <c:y val="0.37730351414406532"/>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2162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[Student_Performance_Projects.xlsx]Student !PivotTable2</c:name>
    <c:fmtId val="3"/>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476159230096238"/>
          <c:y val="0.19342373869932925"/>
          <c:w val="0.71829396325459316"/>
          <c:h val="0.56637795275590552"/>
        </c:manualLayout>
      </c:layout>
      <c:bar3DChart>
        <c:barDir val="col"/>
        <c:grouping val="clustered"/>
        <c:varyColors val="0"/>
        <c:ser>
          <c:idx val="0"/>
          <c:order val="0"/>
          <c:tx>
            <c:strRef>
              <c:f>'Student '!$AQ$52:$AQ$53</c:f>
              <c:strCache>
                <c:ptCount val="1"/>
                <c:pt idx="0">
                  <c:v>Fail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'Student '!$AP$54:$AP$58</c:f>
              <c:strCache>
                <c:ptCount val="4"/>
                <c:pt idx="0">
                  <c:v>A</c:v>
                </c:pt>
                <c:pt idx="1">
                  <c:v>B</c:v>
                </c:pt>
                <c:pt idx="2">
                  <c:v>C</c:v>
                </c:pt>
                <c:pt idx="3">
                  <c:v>D</c:v>
                </c:pt>
              </c:strCache>
            </c:strRef>
          </c:cat>
          <c:val>
            <c:numRef>
              <c:f>'Student '!$AQ$54:$AQ$58</c:f>
              <c:numCache>
                <c:formatCode>General</c:formatCode>
                <c:ptCount val="4"/>
                <c:pt idx="0">
                  <c:v>7</c:v>
                </c:pt>
                <c:pt idx="1">
                  <c:v>6</c:v>
                </c:pt>
                <c:pt idx="2">
                  <c:v>7</c:v>
                </c:pt>
                <c:pt idx="3">
                  <c:v>5</c:v>
                </c:pt>
              </c:numCache>
            </c:numRef>
          </c:val>
          <c:extLst>
            <c:ext xmlns:c16="http://schemas.microsoft.com/office/drawing/2014/chart" uri="{C3380CC4-5D6E-409C-BE32-E72D297353CC}">
              <c16:uniqueId val="{00000000-904B-493F-8A0A-B36708149640}"/>
            </c:ext>
          </c:extLst>
        </c:ser>
        <c:ser>
          <c:idx val="1"/>
          <c:order val="1"/>
          <c:tx>
            <c:strRef>
              <c:f>'Student '!$AR$52:$AR$53</c:f>
              <c:strCache>
                <c:ptCount val="1"/>
                <c:pt idx="0">
                  <c:v>Pass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'Student '!$AP$54:$AP$58</c:f>
              <c:strCache>
                <c:ptCount val="4"/>
                <c:pt idx="0">
                  <c:v>A</c:v>
                </c:pt>
                <c:pt idx="1">
                  <c:v>B</c:v>
                </c:pt>
                <c:pt idx="2">
                  <c:v>C</c:v>
                </c:pt>
                <c:pt idx="3">
                  <c:v>D</c:v>
                </c:pt>
              </c:strCache>
            </c:strRef>
          </c:cat>
          <c:val>
            <c:numRef>
              <c:f>'Student '!$AR$54:$AR$58</c:f>
              <c:numCache>
                <c:formatCode>General</c:formatCode>
                <c:ptCount val="4"/>
                <c:pt idx="0">
                  <c:v>19</c:v>
                </c:pt>
                <c:pt idx="1">
                  <c:v>20</c:v>
                </c:pt>
                <c:pt idx="2">
                  <c:v>17</c:v>
                </c:pt>
                <c:pt idx="3">
                  <c:v>19</c:v>
                </c:pt>
              </c:numCache>
            </c:numRef>
          </c:val>
          <c:extLst>
            <c:ext xmlns:c16="http://schemas.microsoft.com/office/drawing/2014/chart" uri="{C3380CC4-5D6E-409C-BE32-E72D297353CC}">
              <c16:uniqueId val="{00000006-9563-4059-AEDA-4D790BE98436}"/>
            </c:ext>
          </c:extLst>
        </c:ser>
        <c:dLbls>
          <c:showLegendKey val="0"/>
          <c:showVal val="1"/>
          <c:showCatName val="0"/>
          <c:showSerName val="0"/>
          <c:showPercent val="0"/>
          <c:showBubbleSize val="0"/>
        </c:dLbls>
        <c:gapWidth val="150"/>
        <c:shape val="box"/>
        <c:axId val="184611823"/>
        <c:axId val="184609903"/>
        <c:axId val="0"/>
      </c:bar3DChart>
      <c:catAx>
        <c:axId val="184611823"/>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Section</a:t>
                </a:r>
                <a:r>
                  <a:rPr lang="en-IN" baseline="0"/>
                  <a:t> - Result Count</a:t>
                </a:r>
                <a:endParaRPr lang="en-IN"/>
              </a:p>
            </c:rich>
          </c:tx>
          <c:layout>
            <c:manualLayout>
              <c:xMode val="edge"/>
              <c:yMode val="edge"/>
              <c:x val="0.34598512685914268"/>
              <c:y val="4.9413094196558711E-2"/>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609903"/>
        <c:crosses val="autoZero"/>
        <c:auto val="1"/>
        <c:lblAlgn val="ctr"/>
        <c:lblOffset val="100"/>
        <c:noMultiLvlLbl val="0"/>
      </c:catAx>
      <c:valAx>
        <c:axId val="184609903"/>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Count</a:t>
                </a:r>
              </a:p>
            </c:rich>
          </c:tx>
          <c:layout>
            <c:manualLayout>
              <c:xMode val="edge"/>
              <c:yMode val="edge"/>
              <c:x val="4.1274278215223094E-2"/>
              <c:y val="0.36637284922717989"/>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611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[Student_Performance_Projects.xlsx]Student !PivotTable1</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Class - Avg_Score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'Student '!$AQ$38</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'Student '!$AP$39:$AP$42</c:f>
              <c:strCache>
                <c:ptCount val="3"/>
                <c:pt idx="0">
                  <c:v>10</c:v>
                </c:pt>
                <c:pt idx="1">
                  <c:v>11</c:v>
                </c:pt>
                <c:pt idx="2">
                  <c:v>12</c:v>
                </c:pt>
              </c:strCache>
            </c:strRef>
          </c:cat>
          <c:val>
            <c:numRef>
              <c:f>'Student '!$AQ$39:$AQ$42</c:f>
              <c:numCache>
                <c:formatCode>General</c:formatCode>
                <c:ptCount val="3"/>
                <c:pt idx="0">
                  <c:v>70.666666666666671</c:v>
                </c:pt>
                <c:pt idx="1">
                  <c:v>70.5</c:v>
                </c:pt>
                <c:pt idx="2">
                  <c:v>61.363636363636367</c:v>
                </c:pt>
              </c:numCache>
            </c:numRef>
          </c:val>
          <c:extLst>
            <c:ext xmlns:c16="http://schemas.microsoft.com/office/drawing/2014/chart" uri="{C3380CC4-5D6E-409C-BE32-E72D297353CC}">
              <c16:uniqueId val="{00000000-9745-4D96-B522-28D6DD4385B9}"/>
            </c:ext>
          </c:extLst>
        </c:ser>
        <c:dLbls>
          <c:showLegendKey val="0"/>
          <c:showVal val="1"/>
          <c:showCatName val="0"/>
          <c:showSerName val="0"/>
          <c:showPercent val="0"/>
          <c:showBubbleSize val="0"/>
        </c:dLbls>
        <c:gapWidth val="150"/>
        <c:shape val="box"/>
        <c:axId val="1177803487"/>
        <c:axId val="1177803967"/>
        <c:axId val="0"/>
      </c:bar3DChart>
      <c:catAx>
        <c:axId val="1177803487"/>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Class</a:t>
                </a:r>
              </a:p>
            </c:rich>
          </c:tx>
          <c:layout>
            <c:manualLayout>
              <c:xMode val="edge"/>
              <c:yMode val="edge"/>
              <c:x val="0.38770043628754619"/>
              <c:y val="0.81632204154781152"/>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7803967"/>
        <c:crosses val="autoZero"/>
        <c:auto val="1"/>
        <c:lblAlgn val="ctr"/>
        <c:lblOffset val="100"/>
        <c:noMultiLvlLbl val="0"/>
      </c:catAx>
      <c:valAx>
        <c:axId val="1177803967"/>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Final_Score</a:t>
                </a:r>
              </a:p>
            </c:rich>
          </c:tx>
          <c:layout>
            <c:manualLayout>
              <c:xMode val="edge"/>
              <c:yMode val="edge"/>
              <c:x val="6.2886666386562901E-2"/>
              <c:y val="0.4049925729233762"/>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7803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[Student_Performance_Projects.xlsx]Student !PivotTable3</c:name>
    <c:fmtId val="9"/>
  </c:pivotSource>
  <c:chart>
    <c:title>
      <c:tx>
        <c:rich>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r>
              <a:rPr lang="en-US" sz="1600"/>
              <a:t>Attendance - Male &amp; Fmale</a:t>
            </a:r>
            <a:endParaRPr lang="en-US" sz="1600" baseline="0"/>
          </a:p>
        </c:rich>
      </c:tx>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spPr>
          <a:gradFill>
            <a:gsLst>
              <a:gs pos="100000">
                <a:schemeClr val="accent3"/>
              </a:gs>
              <a:gs pos="0">
                <a:schemeClr val="accent3">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3"/>
              </a:gs>
              <a:gs pos="0">
                <a:schemeClr val="accent3">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3"/>
              </a:gs>
              <a:gs pos="0">
                <a:schemeClr val="accent3">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100000">
                <a:schemeClr val="accent3"/>
              </a:gs>
              <a:gs pos="0">
                <a:schemeClr val="accent3">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'Student '!$AQ$66</c:f>
              <c:strCache>
                <c:ptCount val="1"/>
                <c:pt idx="0">
                  <c:v>Total</c:v>
                </c:pt>
              </c:strCache>
            </c:strRef>
          </c:tx>
          <c:spPr>
            <a:gradFill>
              <a:gsLst>
                <a:gs pos="100000">
                  <a:schemeClr val="accent3"/>
                </a:gs>
                <a:gs pos="0">
                  <a:schemeClr val="accent3">
                    <a:lumMod val="75000"/>
                  </a:schemeClr>
                </a:gs>
              </a:gsLst>
              <a:lin ang="0" scaled="1"/>
            </a:gradFill>
            <a:ln>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'Student '!$AP$67:$AP$69</c:f>
              <c:strCache>
                <c:ptCount val="2"/>
                <c:pt idx="0">
                  <c:v>Female</c:v>
                </c:pt>
                <c:pt idx="1">
                  <c:v>Male</c:v>
                </c:pt>
              </c:strCache>
            </c:strRef>
          </c:cat>
          <c:val>
            <c:numRef>
              <c:f>'Student '!$AQ$67:$AQ$69</c:f>
              <c:numCache>
                <c:formatCode>General</c:formatCode>
                <c:ptCount val="2"/>
                <c:pt idx="0">
                  <c:v>88.755102040816325</c:v>
                </c:pt>
                <c:pt idx="1">
                  <c:v>74.921568627450981</c:v>
                </c:pt>
              </c:numCache>
            </c:numRef>
          </c:val>
          <c:extLst>
            <c:ext xmlns:c16="http://schemas.microsoft.com/office/drawing/2014/chart" uri="{C3380CC4-5D6E-409C-BE32-E72D297353CC}">
              <c16:uniqueId val="{00000002-8499-4711-9AF3-A54CF898A1E7}"/>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92232047"/>
        <c:axId val="92229167"/>
      </c:areaChart>
      <c:catAx>
        <c:axId val="92232047"/>
        <c:scaling>
          <c:orientation val="minMax"/>
        </c:scaling>
        <c:delete val="0"/>
        <c:axPos val="b"/>
        <c:title>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92229167"/>
        <c:crosses val="autoZero"/>
        <c:auto val="1"/>
        <c:lblAlgn val="ctr"/>
        <c:lblOffset val="100"/>
        <c:noMultiLvlLbl val="0"/>
      </c:catAx>
      <c:valAx>
        <c:axId val="92229167"/>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title>
          <c:overlay val="0"/>
          <c:spPr>
            <a:noFill/>
            <a:ln>
              <a:noFill/>
            </a:ln>
            <a:effectLst/>
          </c:spPr>
          <c:txPr>
            <a:bodyPr rot="-54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223204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[Student_Performance_Projects.xlsx]Student !PivotTable5</c:name>
    <c:fmtId val="5"/>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Gender - Distribution</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chemeClr val="accent6">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chemeClr val="accent6">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chemeClr val="accent6">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marker>
          <c:symbol val="none"/>
        </c:marker>
        <c:dLbl>
          <c:idx val="0"/>
          <c:spPr>
            <a:solidFill>
              <a:schemeClr val="accent6">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'Student '!$AQ$96</c:f>
              <c:strCache>
                <c:ptCount val="1"/>
                <c:pt idx="0">
                  <c:v>Total</c:v>
                </c:pt>
              </c:strCache>
            </c:strRef>
          </c:tx>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invertIfNegative val="0"/>
          <c:dLbls>
            <c:spPr>
              <a:solidFill>
                <a:schemeClr val="accent6">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'Student '!$AP$97:$AP$99</c:f>
              <c:strCache>
                <c:ptCount val="2"/>
                <c:pt idx="0">
                  <c:v>Female</c:v>
                </c:pt>
                <c:pt idx="1">
                  <c:v>Male</c:v>
                </c:pt>
              </c:strCache>
            </c:strRef>
          </c:cat>
          <c:val>
            <c:numRef>
              <c:f>'Student '!$AQ$97:$AQ$99</c:f>
              <c:numCache>
                <c:formatCode>General</c:formatCode>
                <c:ptCount val="2"/>
                <c:pt idx="0">
                  <c:v>49</c:v>
                </c:pt>
                <c:pt idx="1">
                  <c:v>51</c:v>
                </c:pt>
              </c:numCache>
            </c:numRef>
          </c:val>
          <c:extLst>
            <c:ext xmlns:c16="http://schemas.microsoft.com/office/drawing/2014/chart" uri="{C3380CC4-5D6E-409C-BE32-E72D297353CC}">
              <c16:uniqueId val="{00000006-72BE-4326-A87F-7B27AFB912C7}"/>
            </c:ext>
          </c:extLst>
        </c:ser>
        <c:dLbls>
          <c:showLegendKey val="0"/>
          <c:showVal val="1"/>
          <c:showCatName val="0"/>
          <c:showSerName val="0"/>
          <c:showPercent val="0"/>
          <c:showBubbleSize val="0"/>
        </c:dLbls>
        <c:gapWidth val="84"/>
        <c:gapDepth val="53"/>
        <c:shape val="box"/>
        <c:axId val="762407359"/>
        <c:axId val="762409279"/>
        <c:axId val="0"/>
      </c:bar3DChart>
      <c:catAx>
        <c:axId val="762407359"/>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r>
                  <a:rPr lang="en-IN"/>
                  <a:t>Result</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62409279"/>
        <c:crosses val="autoZero"/>
        <c:auto val="1"/>
        <c:lblAlgn val="ctr"/>
        <c:lblOffset val="100"/>
        <c:noMultiLvlLbl val="0"/>
      </c:catAx>
      <c:valAx>
        <c:axId val="762409279"/>
        <c:scaling>
          <c:orientation val="minMax"/>
        </c:scaling>
        <c:delete val="1"/>
        <c:axPos val="l"/>
        <c:title>
          <c:overlay val="0"/>
          <c:spPr>
            <a:noFill/>
            <a:ln>
              <a:noFill/>
            </a:ln>
            <a:effectLst/>
          </c:spPr>
          <c:txPr>
            <a:bodyPr rot="-54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itle>
        <c:numFmt formatCode="General" sourceLinked="1"/>
        <c:majorTickMark val="out"/>
        <c:minorTickMark val="none"/>
        <c:tickLblPos val="nextTo"/>
        <c:crossAx val="762407359"/>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chart>
  <c:spPr>
    <a:noFill/>
    <a:ln w="635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[Student_Performance_Projects.xlsx]Student !PivotTable5</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Gender - Distribution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'Student '!$AQ$96</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60D6-4E86-B4D9-992790C9E0A7}"/>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60D6-4E86-B4D9-992790C9E0A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'Student '!$AP$97:$AP$99</c:f>
              <c:strCache>
                <c:ptCount val="2"/>
                <c:pt idx="0">
                  <c:v>Female</c:v>
                </c:pt>
                <c:pt idx="1">
                  <c:v>Male</c:v>
                </c:pt>
              </c:strCache>
            </c:strRef>
          </c:cat>
          <c:val>
            <c:numRef>
              <c:f>'Student '!$AQ$97:$AQ$99</c:f>
              <c:numCache>
                <c:formatCode>General</c:formatCode>
                <c:ptCount val="2"/>
                <c:pt idx="0">
                  <c:v>49</c:v>
                </c:pt>
                <c:pt idx="1">
                  <c:v>51</c:v>
                </c:pt>
              </c:numCache>
            </c:numRef>
          </c:val>
          <c:extLst>
            <c:ext xmlns:c16="http://schemas.microsoft.com/office/drawing/2014/chart" uri="{C3380CC4-5D6E-409C-BE32-E72D297353CC}">
              <c16:uniqueId val="{0000000A-60D6-4E86-B4D9-992790C9E0A7}"/>
            </c:ext>
          </c:extLst>
        </c:ser>
        <c:dLbls>
          <c:dLblPos val="ctr"/>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[Student_Performance_Projects.xlsx]Student !PivotTable4</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Grade Count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'Student '!$AQ$80</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'Student '!$AP$81:$AP$87</c:f>
              <c:strCache>
                <c:ptCount val="6"/>
                <c:pt idx="0">
                  <c:v>A</c:v>
                </c:pt>
                <c:pt idx="1">
                  <c:v>A+</c:v>
                </c:pt>
                <c:pt idx="2">
                  <c:v>B</c:v>
                </c:pt>
                <c:pt idx="3">
                  <c:v>C</c:v>
                </c:pt>
                <c:pt idx="4">
                  <c:v>D</c:v>
                </c:pt>
                <c:pt idx="5">
                  <c:v>F</c:v>
                </c:pt>
              </c:strCache>
            </c:strRef>
          </c:cat>
          <c:val>
            <c:numRef>
              <c:f>'Student '!$AQ$81:$AQ$87</c:f>
              <c:numCache>
                <c:formatCode>General</c:formatCode>
                <c:ptCount val="6"/>
                <c:pt idx="0">
                  <c:v>16</c:v>
                </c:pt>
                <c:pt idx="1">
                  <c:v>19</c:v>
                </c:pt>
                <c:pt idx="2">
                  <c:v>25</c:v>
                </c:pt>
                <c:pt idx="3">
                  <c:v>15</c:v>
                </c:pt>
                <c:pt idx="4">
                  <c:v>19</c:v>
                </c:pt>
                <c:pt idx="5">
                  <c:v>6</c:v>
                </c:pt>
              </c:numCache>
            </c:numRef>
          </c:val>
          <c:extLst>
            <c:ext xmlns:c16="http://schemas.microsoft.com/office/drawing/2014/chart" uri="{C3380CC4-5D6E-409C-BE32-E72D297353CC}">
              <c16:uniqueId val="{00000000-34B0-4643-A776-0482F7CE2B14}"/>
            </c:ext>
          </c:extLst>
        </c:ser>
        <c:dLbls>
          <c:showLegendKey val="0"/>
          <c:showVal val="1"/>
          <c:showCatName val="0"/>
          <c:showSerName val="0"/>
          <c:showPercent val="0"/>
          <c:showBubbleSize val="0"/>
        </c:dLbls>
        <c:gapWidth val="150"/>
        <c:shape val="box"/>
        <c:axId val="632162943"/>
        <c:axId val="632149023"/>
        <c:axId val="0"/>
      </c:bar3DChart>
      <c:catAx>
        <c:axId val="632162943"/>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Grade</a:t>
                </a:r>
              </a:p>
            </c:rich>
          </c:tx>
          <c:layout>
            <c:manualLayout>
              <c:xMode val="edge"/>
              <c:yMode val="edge"/>
              <c:x val="0.44040463692038501"/>
              <c:y val="0.8183850976961213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2149023"/>
        <c:crosses val="autoZero"/>
        <c:auto val="1"/>
        <c:lblAlgn val="ctr"/>
        <c:lblOffset val="100"/>
        <c:noMultiLvlLbl val="0"/>
      </c:catAx>
      <c:valAx>
        <c:axId val="632149023"/>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count</a:t>
                </a:r>
              </a:p>
              <a:p>
                <a:pPr>
                  <a:defRPr/>
                </a:pPr>
                <a:endParaRPr lang="en-IN"/>
              </a:p>
            </c:rich>
          </c:tx>
          <c:layout>
            <c:manualLayout>
              <c:xMode val="edge"/>
              <c:yMode val="edge"/>
              <c:x val="4.7890857392825899E-2"/>
              <c:y val="0.37730351414406532"/>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2162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[Student_Performance_Projects.xlsx]Student !PivotTable2</c:name>
    <c:fmtId val="7"/>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476159230096238"/>
          <c:y val="0.19342373869932925"/>
          <c:w val="0.71829396325459316"/>
          <c:h val="0.56637795275590552"/>
        </c:manualLayout>
      </c:layout>
      <c:bar3DChart>
        <c:barDir val="col"/>
        <c:grouping val="clustered"/>
        <c:varyColors val="0"/>
        <c:ser>
          <c:idx val="0"/>
          <c:order val="0"/>
          <c:tx>
            <c:strRef>
              <c:f>'Student '!$AQ$52:$AQ$53</c:f>
              <c:strCache>
                <c:ptCount val="1"/>
                <c:pt idx="0">
                  <c:v>Fail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'Student '!$AP$54:$AP$58</c:f>
              <c:strCache>
                <c:ptCount val="4"/>
                <c:pt idx="0">
                  <c:v>A</c:v>
                </c:pt>
                <c:pt idx="1">
                  <c:v>B</c:v>
                </c:pt>
                <c:pt idx="2">
                  <c:v>C</c:v>
                </c:pt>
                <c:pt idx="3">
                  <c:v>D</c:v>
                </c:pt>
              </c:strCache>
            </c:strRef>
          </c:cat>
          <c:val>
            <c:numRef>
              <c:f>'Student '!$AQ$54:$AQ$58</c:f>
              <c:numCache>
                <c:formatCode>General</c:formatCode>
                <c:ptCount val="4"/>
                <c:pt idx="0">
                  <c:v>7</c:v>
                </c:pt>
                <c:pt idx="1">
                  <c:v>6</c:v>
                </c:pt>
                <c:pt idx="2">
                  <c:v>7</c:v>
                </c:pt>
                <c:pt idx="3">
                  <c:v>5</c:v>
                </c:pt>
              </c:numCache>
            </c:numRef>
          </c:val>
          <c:extLst>
            <c:ext xmlns:c16="http://schemas.microsoft.com/office/drawing/2014/chart" uri="{C3380CC4-5D6E-409C-BE32-E72D297353CC}">
              <c16:uniqueId val="{00000003-0818-47A3-878B-F050582C63E4}"/>
            </c:ext>
          </c:extLst>
        </c:ser>
        <c:ser>
          <c:idx val="1"/>
          <c:order val="1"/>
          <c:tx>
            <c:strRef>
              <c:f>'Student '!$AR$52:$AR$53</c:f>
              <c:strCache>
                <c:ptCount val="1"/>
                <c:pt idx="0">
                  <c:v>Pass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'Student '!$AP$54:$AP$58</c:f>
              <c:strCache>
                <c:ptCount val="4"/>
                <c:pt idx="0">
                  <c:v>A</c:v>
                </c:pt>
                <c:pt idx="1">
                  <c:v>B</c:v>
                </c:pt>
                <c:pt idx="2">
                  <c:v>C</c:v>
                </c:pt>
                <c:pt idx="3">
                  <c:v>D</c:v>
                </c:pt>
              </c:strCache>
            </c:strRef>
          </c:cat>
          <c:val>
            <c:numRef>
              <c:f>'Student '!$AR$54:$AR$58</c:f>
              <c:numCache>
                <c:formatCode>General</c:formatCode>
                <c:ptCount val="4"/>
                <c:pt idx="0">
                  <c:v>19</c:v>
                </c:pt>
                <c:pt idx="1">
                  <c:v>20</c:v>
                </c:pt>
                <c:pt idx="2">
                  <c:v>17</c:v>
                </c:pt>
                <c:pt idx="3">
                  <c:v>19</c:v>
                </c:pt>
              </c:numCache>
            </c:numRef>
          </c:val>
          <c:extLst>
            <c:ext xmlns:c16="http://schemas.microsoft.com/office/drawing/2014/chart" uri="{C3380CC4-5D6E-409C-BE32-E72D297353CC}">
              <c16:uniqueId val="{00000006-963A-4FC4-AEEC-802BDF7DAD45}"/>
            </c:ext>
          </c:extLst>
        </c:ser>
        <c:dLbls>
          <c:showLegendKey val="0"/>
          <c:showVal val="1"/>
          <c:showCatName val="0"/>
          <c:showSerName val="0"/>
          <c:showPercent val="0"/>
          <c:showBubbleSize val="0"/>
        </c:dLbls>
        <c:gapWidth val="150"/>
        <c:shape val="box"/>
        <c:axId val="184611823"/>
        <c:axId val="184609903"/>
        <c:axId val="0"/>
      </c:bar3DChart>
      <c:catAx>
        <c:axId val="184611823"/>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Section</a:t>
                </a:r>
                <a:r>
                  <a:rPr lang="en-IN" baseline="0"/>
                  <a:t> - Result Count</a:t>
                </a:r>
                <a:endParaRPr lang="en-IN"/>
              </a:p>
            </c:rich>
          </c:tx>
          <c:layout>
            <c:manualLayout>
              <c:xMode val="edge"/>
              <c:yMode val="edge"/>
              <c:x val="0.34598512685914268"/>
              <c:y val="4.9413094196558711E-2"/>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609903"/>
        <c:crosses val="autoZero"/>
        <c:auto val="1"/>
        <c:lblAlgn val="ctr"/>
        <c:lblOffset val="100"/>
        <c:noMultiLvlLbl val="0"/>
      </c:catAx>
      <c:valAx>
        <c:axId val="184609903"/>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Count</a:t>
                </a:r>
              </a:p>
            </c:rich>
          </c:tx>
          <c:layout>
            <c:manualLayout>
              <c:xMode val="edge"/>
              <c:yMode val="edge"/>
              <c:x val="4.1274278215223094E-2"/>
              <c:y val="0.36637284922717989"/>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611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5">
  <a:schemeClr val="accent5"/>
</cs:colorStyle>
</file>

<file path=xl/charts/colors8.xml><?xml version="1.0" encoding="utf-8"?>
<cs:colorStyle xmlns:cs="http://schemas.microsoft.com/office/drawing/2012/chartStyle" xmlns:a="http://schemas.openxmlformats.org/drawingml/2006/main" meth="withinLinear" id="16">
  <a:schemeClr val="accent3"/>
</cs:colorStyle>
</file>

<file path=xl/charts/colors9.xml><?xml version="1.0" encoding="utf-8"?>
<cs:colorStyle xmlns:cs="http://schemas.microsoft.com/office/drawing/2012/chartStyle" xmlns:a="http://schemas.openxmlformats.org/drawingml/2006/main" meth="withinLinear" id="19">
  <a:schemeClr val="accent6"/>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8">
  <a:schemeClr val="accent5"/>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10.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chart" Target="../charts/chart7.xml"/><Relationship Id="rId1" Type="http://schemas.openxmlformats.org/officeDocument/2006/relationships/image" Target="../media/image1.jpeg"/><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44</xdr:col>
      <xdr:colOff>457206</xdr:colOff>
      <xdr:row>33</xdr:row>
      <xdr:rowOff>179070</xdr:rowOff>
    </xdr:from>
    <xdr:to>
      <xdr:col>57</xdr:col>
      <xdr:colOff>106680</xdr:colOff>
      <xdr:row>46</xdr:row>
      <xdr:rowOff>83820</xdr:rowOff>
    </xdr:to>
    <xdr:graphicFrame macro="">
      <xdr:nvGraphicFramePr>
        <xdr:cNvPr id="2" name="Chart 1">
          <a:extLst>
            <a:ext uri="{FF2B5EF4-FFF2-40B4-BE49-F238E27FC236}">
              <a16:creationId xmlns:a16="http://schemas.microsoft.com/office/drawing/2014/main" id="{6CD1536E-C552-4D1E-9FA6-E3675E14F9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44</xdr:col>
      <xdr:colOff>365760</xdr:colOff>
      <xdr:row>64</xdr:row>
      <xdr:rowOff>22860</xdr:rowOff>
    </xdr:from>
    <xdr:to>
      <xdr:col>58</xdr:col>
      <xdr:colOff>175260</xdr:colOff>
      <xdr:row>74</xdr:row>
      <xdr:rowOff>22860</xdr:rowOff>
    </xdr:to>
    <xdr:graphicFrame macro="">
      <xdr:nvGraphicFramePr>
        <xdr:cNvPr id="3" name="Chart 2">
          <a:extLst>
            <a:ext uri="{FF2B5EF4-FFF2-40B4-BE49-F238E27FC236}">
              <a16:creationId xmlns:a16="http://schemas.microsoft.com/office/drawing/2014/main" id="{7E233B09-661C-9D7E-1718-328A788573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46</xdr:col>
      <xdr:colOff>228600</xdr:colOff>
      <xdr:row>92</xdr:row>
      <xdr:rowOff>167640</xdr:rowOff>
    </xdr:from>
    <xdr:to>
      <xdr:col>59</xdr:col>
      <xdr:colOff>83820</xdr:colOff>
      <xdr:row>105</xdr:row>
      <xdr:rowOff>26670</xdr:rowOff>
    </xdr:to>
    <xdr:graphicFrame macro="">
      <xdr:nvGraphicFramePr>
        <xdr:cNvPr id="4" name="Chart 3">
          <a:extLst>
            <a:ext uri="{FF2B5EF4-FFF2-40B4-BE49-F238E27FC236}">
              <a16:creationId xmlns:a16="http://schemas.microsoft.com/office/drawing/2014/main" id="{ECB0DCCB-568C-0CBF-7E19-DE319E1134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47</xdr:col>
      <xdr:colOff>6</xdr:colOff>
      <xdr:row>109</xdr:row>
      <xdr:rowOff>0</xdr:rowOff>
    </xdr:from>
    <xdr:to>
      <xdr:col>63</xdr:col>
      <xdr:colOff>15240</xdr:colOff>
      <xdr:row>123</xdr:row>
      <xdr:rowOff>3810</xdr:rowOff>
    </xdr:to>
    <xdr:graphicFrame macro="">
      <xdr:nvGraphicFramePr>
        <xdr:cNvPr id="5" name="Chart 4">
          <a:extLst>
            <a:ext uri="{FF2B5EF4-FFF2-40B4-BE49-F238E27FC236}">
              <a16:creationId xmlns:a16="http://schemas.microsoft.com/office/drawing/2014/main" id="{01533045-4055-626F-B8B7-18DEBF57B2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44</xdr:col>
      <xdr:colOff>85531</xdr:colOff>
      <xdr:row>75</xdr:row>
      <xdr:rowOff>156288</xdr:rowOff>
    </xdr:from>
    <xdr:to>
      <xdr:col>59</xdr:col>
      <xdr:colOff>54429</xdr:colOff>
      <xdr:row>90</xdr:row>
      <xdr:rowOff>100304</xdr:rowOff>
    </xdr:to>
    <xdr:graphicFrame macro="">
      <xdr:nvGraphicFramePr>
        <xdr:cNvPr id="6" name="Chart 5">
          <a:extLst>
            <a:ext uri="{FF2B5EF4-FFF2-40B4-BE49-F238E27FC236}">
              <a16:creationId xmlns:a16="http://schemas.microsoft.com/office/drawing/2014/main" id="{60CD78F6-4BEC-ABE4-E726-989EB176B7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46</xdr:col>
      <xdr:colOff>132182</xdr:colOff>
      <xdr:row>47</xdr:row>
      <xdr:rowOff>62980</xdr:rowOff>
    </xdr:from>
    <xdr:to>
      <xdr:col>66</xdr:col>
      <xdr:colOff>139958</xdr:colOff>
      <xdr:row>62</xdr:row>
      <xdr:rowOff>6997</xdr:rowOff>
    </xdr:to>
    <xdr:graphicFrame macro="">
      <xdr:nvGraphicFramePr>
        <xdr:cNvPr id="7" name="Chart 6">
          <a:extLst>
            <a:ext uri="{FF2B5EF4-FFF2-40B4-BE49-F238E27FC236}">
              <a16:creationId xmlns:a16="http://schemas.microsoft.com/office/drawing/2014/main" id="{73AD2BD9-6D79-4BCA-43BD-B6D1B9740A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23</xdr:col>
      <xdr:colOff>600777</xdr:colOff>
      <xdr:row>36</xdr:row>
      <xdr:rowOff>152400</xdr:rowOff>
    </xdr:to>
    <xdr:pic>
      <xdr:nvPicPr>
        <xdr:cNvPr id="2" name="Picture 1" descr="The image is a dark, abstract composition featuring a network of interconnected geometric shapes and lines in shades of blue and purple.&#10;&#10;AI-generated content may be incorrect.">
          <a:extLst>
            <a:ext uri="{FF2B5EF4-FFF2-40B4-BE49-F238E27FC236}">
              <a16:creationId xmlns:a16="http://schemas.microsoft.com/office/drawing/2014/main" id="{0FF8D664-BB3A-7A91-D086-FA5D240A6369}"/>
            </a:ext>
          </a:extLst>
        </xdr:cNvPr>
        <xdr:cNvPicPr>
          <a:picLocks noChangeAspect="1"/>
        </xdr:cNvPicPr>
      </xdr:nvPicPr>
      <xdr:blipFill>
        <a:blip xmlns:r="http://schemas.openxmlformats.org/officeDocument/2006/relationships" r:embed="rId1"/>
        <a:stretch>
          <a:fillRect/>
        </a:stretch>
      </xdr:blipFill>
      <xdr:spPr>
        <a:xfrm>
          <a:off x="0" y="0"/>
          <a:ext cx="14621577" cy="6736080"/>
        </a:xfrm>
        <a:prstGeom prst="rect">
          <a:avLst/>
        </a:prstGeom>
        <a:ln>
          <a:noFill/>
        </a:ln>
      </xdr:spPr>
    </xdr:pic>
    <xdr:clientData/>
  </xdr:twoCellAnchor>
  <xdr:twoCellAnchor>
    <xdr:from>
      <xdr:col>8</xdr:col>
      <xdr:colOff>284602</xdr:colOff>
      <xdr:row>12</xdr:row>
      <xdr:rowOff>165254</xdr:rowOff>
    </xdr:from>
    <xdr:to>
      <xdr:col>15</xdr:col>
      <xdr:colOff>358047</xdr:colOff>
      <xdr:row>24</xdr:row>
      <xdr:rowOff>115862</xdr:rowOff>
    </xdr:to>
    <xdr:graphicFrame macro="">
      <xdr:nvGraphicFramePr>
        <xdr:cNvPr id="3" name="Chart 2">
          <a:extLst>
            <a:ext uri="{FF2B5EF4-FFF2-40B4-BE49-F238E27FC236}">
              <a16:creationId xmlns:a16="http://schemas.microsoft.com/office/drawing/2014/main" id="{EBD707D1-CD77-46CF-9BF8-4477EAD3BE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513303</xdr:colOff>
      <xdr:row>12</xdr:row>
      <xdr:rowOff>50035</xdr:rowOff>
    </xdr:from>
    <xdr:to>
      <xdr:col>23</xdr:col>
      <xdr:colOff>108240</xdr:colOff>
      <xdr:row>22</xdr:row>
      <xdr:rowOff>87357</xdr:rowOff>
    </xdr:to>
    <xdr:graphicFrame macro="">
      <xdr:nvGraphicFramePr>
        <xdr:cNvPr id="4" name="Chart 3">
          <a:extLst>
            <a:ext uri="{FF2B5EF4-FFF2-40B4-BE49-F238E27FC236}">
              <a16:creationId xmlns:a16="http://schemas.microsoft.com/office/drawing/2014/main" id="{86173CC3-F349-4B80-8D1F-5203BBA4DD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411481</xdr:colOff>
      <xdr:row>12</xdr:row>
      <xdr:rowOff>22860</xdr:rowOff>
    </xdr:from>
    <xdr:to>
      <xdr:col>7</xdr:col>
      <xdr:colOff>269925</xdr:colOff>
      <xdr:row>22</xdr:row>
      <xdr:rowOff>159009</xdr:rowOff>
    </xdr:to>
    <xdr:graphicFrame macro="">
      <xdr:nvGraphicFramePr>
        <xdr:cNvPr id="5" name="Chart 4">
          <a:extLst>
            <a:ext uri="{FF2B5EF4-FFF2-40B4-BE49-F238E27FC236}">
              <a16:creationId xmlns:a16="http://schemas.microsoft.com/office/drawing/2014/main" id="{63248D39-5A00-4D26-91C8-7D888CD4A0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106681</xdr:colOff>
      <xdr:row>24</xdr:row>
      <xdr:rowOff>174434</xdr:rowOff>
    </xdr:from>
    <xdr:to>
      <xdr:col>15</xdr:col>
      <xdr:colOff>129540</xdr:colOff>
      <xdr:row>35</xdr:row>
      <xdr:rowOff>52329</xdr:rowOff>
    </xdr:to>
    <xdr:graphicFrame macro="">
      <xdr:nvGraphicFramePr>
        <xdr:cNvPr id="6" name="Chart 5">
          <a:extLst>
            <a:ext uri="{FF2B5EF4-FFF2-40B4-BE49-F238E27FC236}">
              <a16:creationId xmlns:a16="http://schemas.microsoft.com/office/drawing/2014/main" id="{99204BCD-5657-4338-928E-146FB83A76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306003</xdr:colOff>
      <xdr:row>24</xdr:row>
      <xdr:rowOff>53340</xdr:rowOff>
    </xdr:from>
    <xdr:to>
      <xdr:col>7</xdr:col>
      <xdr:colOff>289560</xdr:colOff>
      <xdr:row>36</xdr:row>
      <xdr:rowOff>45720</xdr:rowOff>
    </xdr:to>
    <xdr:graphicFrame macro="">
      <xdr:nvGraphicFramePr>
        <xdr:cNvPr id="7" name="Chart 6">
          <a:extLst>
            <a:ext uri="{FF2B5EF4-FFF2-40B4-BE49-F238E27FC236}">
              <a16:creationId xmlns:a16="http://schemas.microsoft.com/office/drawing/2014/main" id="{C70E15C9-C54B-452C-BF5D-6DC3579B2C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225701</xdr:colOff>
      <xdr:row>23</xdr:row>
      <xdr:rowOff>60960</xdr:rowOff>
    </xdr:from>
    <xdr:to>
      <xdr:col>23</xdr:col>
      <xdr:colOff>365761</xdr:colOff>
      <xdr:row>36</xdr:row>
      <xdr:rowOff>0</xdr:rowOff>
    </xdr:to>
    <xdr:graphicFrame macro="">
      <xdr:nvGraphicFramePr>
        <xdr:cNvPr id="8" name="Chart 7">
          <a:extLst>
            <a:ext uri="{FF2B5EF4-FFF2-40B4-BE49-F238E27FC236}">
              <a16:creationId xmlns:a16="http://schemas.microsoft.com/office/drawing/2014/main" id="{7654B35D-917B-4F92-8497-ABA021471C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396240</xdr:colOff>
      <xdr:row>18</xdr:row>
      <xdr:rowOff>22860</xdr:rowOff>
    </xdr:from>
    <xdr:to>
      <xdr:col>19</xdr:col>
      <xdr:colOff>76200</xdr:colOff>
      <xdr:row>32</xdr:row>
      <xdr:rowOff>129540</xdr:rowOff>
    </xdr:to>
    <xdr:sp macro="" textlink="">
      <xdr:nvSpPr>
        <xdr:cNvPr id="12" name="Rectangle 11">
          <a:extLst>
            <a:ext uri="{FF2B5EF4-FFF2-40B4-BE49-F238E27FC236}">
              <a16:creationId xmlns:a16="http://schemas.microsoft.com/office/drawing/2014/main" id="{78C08F4F-6A5D-D6FD-F976-7CF211BA8290}"/>
            </a:ext>
          </a:extLst>
        </xdr:cNvPr>
        <xdr:cNvSpPr/>
      </xdr:nvSpPr>
      <xdr:spPr>
        <a:xfrm>
          <a:off x="6492240" y="3314700"/>
          <a:ext cx="5166360" cy="26670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38100</xdr:colOff>
      <xdr:row>23</xdr:row>
      <xdr:rowOff>45720</xdr:rowOff>
    </xdr:from>
    <xdr:to>
      <xdr:col>23</xdr:col>
      <xdr:colOff>464820</xdr:colOff>
      <xdr:row>35</xdr:row>
      <xdr:rowOff>137160</xdr:rowOff>
    </xdr:to>
    <xdr:sp macro="" textlink="">
      <xdr:nvSpPr>
        <xdr:cNvPr id="14" name="Rectangle: Rounded Corners 13">
          <a:extLst>
            <a:ext uri="{FF2B5EF4-FFF2-40B4-BE49-F238E27FC236}">
              <a16:creationId xmlns:a16="http://schemas.microsoft.com/office/drawing/2014/main" id="{A90639ED-A84D-22F9-9E3A-8BDCFF927CB1}"/>
            </a:ext>
          </a:extLst>
        </xdr:cNvPr>
        <xdr:cNvSpPr/>
      </xdr:nvSpPr>
      <xdr:spPr>
        <a:xfrm>
          <a:off x="9791700" y="4251960"/>
          <a:ext cx="4693920" cy="2286000"/>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solidFill>
                <a:schemeClr val="bg1"/>
              </a:solidFill>
            </a:ln>
            <a:noFill/>
          </a:endParaRPr>
        </a:p>
      </xdr:txBody>
    </xdr:sp>
    <xdr:clientData/>
  </xdr:twoCellAnchor>
  <xdr:twoCellAnchor>
    <xdr:from>
      <xdr:col>8</xdr:col>
      <xdr:colOff>304800</xdr:colOff>
      <xdr:row>24</xdr:row>
      <xdr:rowOff>146892</xdr:rowOff>
    </xdr:from>
    <xdr:to>
      <xdr:col>15</xdr:col>
      <xdr:colOff>419100</xdr:colOff>
      <xdr:row>36</xdr:row>
      <xdr:rowOff>0</xdr:rowOff>
    </xdr:to>
    <xdr:sp macro="" textlink="">
      <xdr:nvSpPr>
        <xdr:cNvPr id="15" name="Rectangle: Rounded Corners 14">
          <a:extLst>
            <a:ext uri="{FF2B5EF4-FFF2-40B4-BE49-F238E27FC236}">
              <a16:creationId xmlns:a16="http://schemas.microsoft.com/office/drawing/2014/main" id="{ABBA99F5-C6FA-ADB1-96B6-FD977E1B45EA}"/>
            </a:ext>
          </a:extLst>
        </xdr:cNvPr>
        <xdr:cNvSpPr/>
      </xdr:nvSpPr>
      <xdr:spPr>
        <a:xfrm>
          <a:off x="5152222" y="4553639"/>
          <a:ext cx="4355794" cy="2056481"/>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76200</xdr:colOff>
      <xdr:row>24</xdr:row>
      <xdr:rowOff>0</xdr:rowOff>
    </xdr:from>
    <xdr:to>
      <xdr:col>7</xdr:col>
      <xdr:colOff>563880</xdr:colOff>
      <xdr:row>36</xdr:row>
      <xdr:rowOff>83820</xdr:rowOff>
    </xdr:to>
    <xdr:sp macro="" textlink="">
      <xdr:nvSpPr>
        <xdr:cNvPr id="16" name="Rectangle: Rounded Corners 15">
          <a:extLst>
            <a:ext uri="{FF2B5EF4-FFF2-40B4-BE49-F238E27FC236}">
              <a16:creationId xmlns:a16="http://schemas.microsoft.com/office/drawing/2014/main" id="{9DF680F1-31D6-B7E4-C49A-CE1722C47258}"/>
            </a:ext>
          </a:extLst>
        </xdr:cNvPr>
        <xdr:cNvSpPr/>
      </xdr:nvSpPr>
      <xdr:spPr>
        <a:xfrm>
          <a:off x="76200" y="4389120"/>
          <a:ext cx="4754880" cy="2278380"/>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149279</xdr:colOff>
      <xdr:row>12</xdr:row>
      <xdr:rowOff>1377</xdr:rowOff>
    </xdr:from>
    <xdr:to>
      <xdr:col>23</xdr:col>
      <xdr:colOff>400739</xdr:colOff>
      <xdr:row>22</xdr:row>
      <xdr:rowOff>154511</xdr:rowOff>
    </xdr:to>
    <xdr:sp macro="" textlink="">
      <xdr:nvSpPr>
        <xdr:cNvPr id="17" name="Rectangle: Rounded Corners 16">
          <a:extLst>
            <a:ext uri="{FF2B5EF4-FFF2-40B4-BE49-F238E27FC236}">
              <a16:creationId xmlns:a16="http://schemas.microsoft.com/office/drawing/2014/main" id="{52F30104-E138-2D70-A7CB-93923F0ED27A}"/>
            </a:ext>
          </a:extLst>
        </xdr:cNvPr>
        <xdr:cNvSpPr/>
      </xdr:nvSpPr>
      <xdr:spPr>
        <a:xfrm>
          <a:off x="9844122" y="2204750"/>
          <a:ext cx="4492954" cy="1989279"/>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190500</xdr:colOff>
      <xdr:row>13</xdr:row>
      <xdr:rowOff>15240</xdr:rowOff>
    </xdr:from>
    <xdr:to>
      <xdr:col>15</xdr:col>
      <xdr:colOff>441960</xdr:colOff>
      <xdr:row>24</xdr:row>
      <xdr:rowOff>73446</xdr:rowOff>
    </xdr:to>
    <xdr:sp macro="" textlink="">
      <xdr:nvSpPr>
        <xdr:cNvPr id="18" name="Rectangle: Rounded Corners 17">
          <a:extLst>
            <a:ext uri="{FF2B5EF4-FFF2-40B4-BE49-F238E27FC236}">
              <a16:creationId xmlns:a16="http://schemas.microsoft.com/office/drawing/2014/main" id="{2FFDFD39-DFC0-4F63-A984-C407C15F29D2}"/>
            </a:ext>
          </a:extLst>
        </xdr:cNvPr>
        <xdr:cNvSpPr/>
      </xdr:nvSpPr>
      <xdr:spPr>
        <a:xfrm>
          <a:off x="5037922" y="2402228"/>
          <a:ext cx="4492954" cy="2077965"/>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243840</xdr:colOff>
      <xdr:row>11</xdr:row>
      <xdr:rowOff>167640</xdr:rowOff>
    </xdr:from>
    <xdr:to>
      <xdr:col>7</xdr:col>
      <xdr:colOff>495300</xdr:colOff>
      <xdr:row>23</xdr:row>
      <xdr:rowOff>7620</xdr:rowOff>
    </xdr:to>
    <xdr:sp macro="" textlink="">
      <xdr:nvSpPr>
        <xdr:cNvPr id="19" name="Rectangle: Rounded Corners 18">
          <a:extLst>
            <a:ext uri="{FF2B5EF4-FFF2-40B4-BE49-F238E27FC236}">
              <a16:creationId xmlns:a16="http://schemas.microsoft.com/office/drawing/2014/main" id="{7DEAB328-DFB9-48E4-B56A-8E8B5A2AE3EA}"/>
            </a:ext>
          </a:extLst>
        </xdr:cNvPr>
        <xdr:cNvSpPr/>
      </xdr:nvSpPr>
      <xdr:spPr>
        <a:xfrm>
          <a:off x="243840" y="2179320"/>
          <a:ext cx="4518660" cy="2034540"/>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357678</xdr:colOff>
      <xdr:row>8</xdr:row>
      <xdr:rowOff>146011</xdr:rowOff>
    </xdr:from>
    <xdr:to>
      <xdr:col>23</xdr:col>
      <xdr:colOff>311958</xdr:colOff>
      <xdr:row>11</xdr:row>
      <xdr:rowOff>60344</xdr:rowOff>
    </xdr:to>
    <xdr:sp macro="" textlink="'Student '!AS117">
      <xdr:nvSpPr>
        <xdr:cNvPr id="20" name="Oval 19">
          <a:extLst>
            <a:ext uri="{FF2B5EF4-FFF2-40B4-BE49-F238E27FC236}">
              <a16:creationId xmlns:a16="http://schemas.microsoft.com/office/drawing/2014/main" id="{59E048A1-8F0D-EEBB-1163-932FF4EEE09E}"/>
            </a:ext>
          </a:extLst>
        </xdr:cNvPr>
        <xdr:cNvSpPr/>
      </xdr:nvSpPr>
      <xdr:spPr>
        <a:xfrm>
          <a:off x="13126951" y="1623829"/>
          <a:ext cx="1170401" cy="468515"/>
        </a:xfrm>
        <a:prstGeom prst="ellipse">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fld id="{6E61D9AE-7853-4059-AE6C-175FAE5DA702}" type="TxLink">
            <a:rPr lang="en-US" sz="1100" b="0" i="0" u="none" strike="noStrike">
              <a:solidFill>
                <a:srgbClr val="000000"/>
              </a:solidFill>
              <a:latin typeface="Aptos Narrow"/>
            </a:rPr>
            <a:pPr algn="ctr"/>
            <a:t>100</a:t>
          </a:fld>
          <a:endParaRPr lang="en-IN" sz="1100" b="1"/>
        </a:p>
      </xdr:txBody>
    </xdr:sp>
    <xdr:clientData/>
  </xdr:twoCellAnchor>
  <xdr:twoCellAnchor>
    <xdr:from>
      <xdr:col>18</xdr:col>
      <xdr:colOff>346363</xdr:colOff>
      <xdr:row>2</xdr:row>
      <xdr:rowOff>19063</xdr:rowOff>
    </xdr:from>
    <xdr:to>
      <xdr:col>22</xdr:col>
      <xdr:colOff>367043</xdr:colOff>
      <xdr:row>4</xdr:row>
      <xdr:rowOff>50278</xdr:rowOff>
    </xdr:to>
    <xdr:sp macro="" textlink="">
      <xdr:nvSpPr>
        <xdr:cNvPr id="21" name="Rectangle: Rounded Corners 20">
          <a:extLst>
            <a:ext uri="{FF2B5EF4-FFF2-40B4-BE49-F238E27FC236}">
              <a16:creationId xmlns:a16="http://schemas.microsoft.com/office/drawing/2014/main" id="{7C0663F2-2D95-7721-2AE2-A9AC763DAFA0}"/>
            </a:ext>
          </a:extLst>
        </xdr:cNvPr>
        <xdr:cNvSpPr/>
      </xdr:nvSpPr>
      <xdr:spPr>
        <a:xfrm>
          <a:off x="11291454" y="388518"/>
          <a:ext cx="2452922" cy="400669"/>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ctr"/>
          <a:r>
            <a:rPr lang="en-IN" sz="2000" b="1">
              <a:latin typeface="Times New Roman" panose="02020603050405020304" pitchFamily="18" charset="0"/>
              <a:cs typeface="Times New Roman" panose="02020603050405020304" pitchFamily="18" charset="0"/>
            </a:rPr>
            <a:t>KPI</a:t>
          </a:r>
        </a:p>
        <a:p>
          <a:pPr algn="ctr"/>
          <a:endParaRPr lang="en-IN" sz="2400">
            <a:latin typeface="Times New Roman" panose="02020603050405020304" pitchFamily="18" charset="0"/>
            <a:cs typeface="Times New Roman" panose="02020603050405020304" pitchFamily="18" charset="0"/>
          </a:endParaRPr>
        </a:p>
      </xdr:txBody>
    </xdr:sp>
    <xdr:clientData/>
  </xdr:twoCellAnchor>
  <xdr:twoCellAnchor>
    <xdr:from>
      <xdr:col>0</xdr:col>
      <xdr:colOff>403860</xdr:colOff>
      <xdr:row>5</xdr:row>
      <xdr:rowOff>121920</xdr:rowOff>
    </xdr:from>
    <xdr:to>
      <xdr:col>7</xdr:col>
      <xdr:colOff>0</xdr:colOff>
      <xdr:row>9</xdr:row>
      <xdr:rowOff>167640</xdr:rowOff>
    </xdr:to>
    <xdr:sp macro="" textlink="">
      <xdr:nvSpPr>
        <xdr:cNvPr id="22" name="Rectangle: Rounded Corners 21">
          <a:extLst>
            <a:ext uri="{FF2B5EF4-FFF2-40B4-BE49-F238E27FC236}">
              <a16:creationId xmlns:a16="http://schemas.microsoft.com/office/drawing/2014/main" id="{929C3AA2-A8FB-02A2-EEA0-621CA89F0284}"/>
            </a:ext>
          </a:extLst>
        </xdr:cNvPr>
        <xdr:cNvSpPr/>
      </xdr:nvSpPr>
      <xdr:spPr>
        <a:xfrm>
          <a:off x="403860" y="1036320"/>
          <a:ext cx="3863340" cy="77724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IN" sz="2000" b="1">
              <a:latin typeface="Times New Roman" panose="02020603050405020304" pitchFamily="18" charset="0"/>
              <a:cs typeface="Times New Roman" panose="02020603050405020304" pitchFamily="18" charset="0"/>
            </a:rPr>
            <a:t>Student_Performance_Analysis</a:t>
          </a:r>
        </a:p>
      </xdr:txBody>
    </xdr:sp>
    <xdr:clientData/>
  </xdr:twoCellAnchor>
  <xdr:twoCellAnchor>
    <xdr:from>
      <xdr:col>0</xdr:col>
      <xdr:colOff>83820</xdr:colOff>
      <xdr:row>0</xdr:row>
      <xdr:rowOff>91440</xdr:rowOff>
    </xdr:from>
    <xdr:to>
      <xdr:col>7</xdr:col>
      <xdr:colOff>381000</xdr:colOff>
      <xdr:row>10</xdr:row>
      <xdr:rowOff>175260</xdr:rowOff>
    </xdr:to>
    <xdr:sp macro="" textlink="">
      <xdr:nvSpPr>
        <xdr:cNvPr id="23" name="Rectangle: Rounded Corners 22">
          <a:extLst>
            <a:ext uri="{FF2B5EF4-FFF2-40B4-BE49-F238E27FC236}">
              <a16:creationId xmlns:a16="http://schemas.microsoft.com/office/drawing/2014/main" id="{5A9F6916-FD5C-7221-9E43-D78BB7F160C8}"/>
            </a:ext>
          </a:extLst>
        </xdr:cNvPr>
        <xdr:cNvSpPr/>
      </xdr:nvSpPr>
      <xdr:spPr>
        <a:xfrm>
          <a:off x="83820" y="91440"/>
          <a:ext cx="4564380" cy="1912620"/>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502920</xdr:colOff>
      <xdr:row>1</xdr:row>
      <xdr:rowOff>175260</xdr:rowOff>
    </xdr:from>
    <xdr:to>
      <xdr:col>5</xdr:col>
      <xdr:colOff>487680</xdr:colOff>
      <xdr:row>4</xdr:row>
      <xdr:rowOff>129540</xdr:rowOff>
    </xdr:to>
    <xdr:sp macro="" textlink="">
      <xdr:nvSpPr>
        <xdr:cNvPr id="24" name="Rectangle 23">
          <a:extLst>
            <a:ext uri="{FF2B5EF4-FFF2-40B4-BE49-F238E27FC236}">
              <a16:creationId xmlns:a16="http://schemas.microsoft.com/office/drawing/2014/main" id="{FAF30286-77C4-8E95-0736-CEB6A953B922}"/>
            </a:ext>
          </a:extLst>
        </xdr:cNvPr>
        <xdr:cNvSpPr/>
      </xdr:nvSpPr>
      <xdr:spPr>
        <a:xfrm>
          <a:off x="1112520" y="358140"/>
          <a:ext cx="2423160" cy="502920"/>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IN" sz="1800" b="1">
              <a:latin typeface="Times New Roman" panose="02020603050405020304" pitchFamily="18" charset="0"/>
              <a:cs typeface="Times New Roman" panose="02020603050405020304" pitchFamily="18" charset="0"/>
            </a:rPr>
            <a:t>Project Name</a:t>
          </a:r>
          <a:r>
            <a:rPr lang="en-IN" sz="1800" b="1" baseline="0">
              <a:latin typeface="Times New Roman" panose="02020603050405020304" pitchFamily="18" charset="0"/>
              <a:cs typeface="Times New Roman" panose="02020603050405020304" pitchFamily="18" charset="0"/>
            </a:rPr>
            <a:t> : - </a:t>
          </a:r>
        </a:p>
        <a:p>
          <a:pPr algn="ctr"/>
          <a:endParaRPr lang="en-IN" sz="1800" b="1">
            <a:latin typeface="Times New Roman" panose="02020603050405020304" pitchFamily="18" charset="0"/>
            <a:cs typeface="Times New Roman" panose="02020603050405020304" pitchFamily="18" charset="0"/>
          </a:endParaRPr>
        </a:p>
      </xdr:txBody>
    </xdr:sp>
    <xdr:clientData/>
  </xdr:twoCellAnchor>
  <xdr:twoCellAnchor>
    <xdr:from>
      <xdr:col>19</xdr:col>
      <xdr:colOff>213052</xdr:colOff>
      <xdr:row>8</xdr:row>
      <xdr:rowOff>146165</xdr:rowOff>
    </xdr:from>
    <xdr:to>
      <xdr:col>21</xdr:col>
      <xdr:colOff>136852</xdr:colOff>
      <xdr:row>11</xdr:row>
      <xdr:rowOff>60498</xdr:rowOff>
    </xdr:to>
    <xdr:sp macro="" textlink="'Student '!AR98">
      <xdr:nvSpPr>
        <xdr:cNvPr id="25" name="Oval 24">
          <a:extLst>
            <a:ext uri="{FF2B5EF4-FFF2-40B4-BE49-F238E27FC236}">
              <a16:creationId xmlns:a16="http://schemas.microsoft.com/office/drawing/2014/main" id="{45B6BA12-404D-47AA-B75E-B0F2D1EDDCDF}"/>
            </a:ext>
          </a:extLst>
        </xdr:cNvPr>
        <xdr:cNvSpPr/>
      </xdr:nvSpPr>
      <xdr:spPr>
        <a:xfrm>
          <a:off x="11766204" y="1623983"/>
          <a:ext cx="1139921" cy="468515"/>
        </a:xfrm>
        <a:prstGeom prst="ellipse">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fld id="{11F21599-E993-489D-8D0C-DF3969FD9206}" type="TxLink">
            <a:rPr lang="en-US" sz="1100" b="0" i="0" u="none" strike="noStrike">
              <a:solidFill>
                <a:srgbClr val="000000"/>
              </a:solidFill>
              <a:latin typeface="Aptos Narrow"/>
            </a:rPr>
            <a:pPr algn="ctr"/>
            <a:t>51</a:t>
          </a:fld>
          <a:endParaRPr lang="en-IN" sz="1100" b="1"/>
        </a:p>
      </xdr:txBody>
    </xdr:sp>
    <xdr:clientData/>
  </xdr:twoCellAnchor>
  <xdr:twoCellAnchor>
    <xdr:from>
      <xdr:col>21</xdr:col>
      <xdr:colOff>312189</xdr:colOff>
      <xdr:row>6</xdr:row>
      <xdr:rowOff>23013</xdr:rowOff>
    </xdr:from>
    <xdr:to>
      <xdr:col>23</xdr:col>
      <xdr:colOff>292485</xdr:colOff>
      <xdr:row>8</xdr:row>
      <xdr:rowOff>53494</xdr:rowOff>
    </xdr:to>
    <xdr:sp macro="" textlink="">
      <xdr:nvSpPr>
        <xdr:cNvPr id="26" name="Rectangle: Rounded Corners 25">
          <a:extLst>
            <a:ext uri="{FF2B5EF4-FFF2-40B4-BE49-F238E27FC236}">
              <a16:creationId xmlns:a16="http://schemas.microsoft.com/office/drawing/2014/main" id="{964D572B-FA07-51CD-33C4-32CA82AAF543}"/>
            </a:ext>
          </a:extLst>
        </xdr:cNvPr>
        <xdr:cNvSpPr/>
      </xdr:nvSpPr>
      <xdr:spPr>
        <a:xfrm>
          <a:off x="13081462" y="1131377"/>
          <a:ext cx="1196417" cy="399935"/>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lang="en-IN" sz="1100" b="1"/>
            <a:t>Total Student </a:t>
          </a:r>
        </a:p>
      </xdr:txBody>
    </xdr:sp>
    <xdr:clientData/>
  </xdr:twoCellAnchor>
  <xdr:twoCellAnchor>
    <xdr:from>
      <xdr:col>19</xdr:col>
      <xdr:colOff>152400</xdr:colOff>
      <xdr:row>6</xdr:row>
      <xdr:rowOff>29017</xdr:rowOff>
    </xdr:from>
    <xdr:to>
      <xdr:col>21</xdr:col>
      <xdr:colOff>182880</xdr:colOff>
      <xdr:row>8</xdr:row>
      <xdr:rowOff>61345</xdr:rowOff>
    </xdr:to>
    <xdr:sp macro="" textlink="">
      <xdr:nvSpPr>
        <xdr:cNvPr id="27" name="Rectangle: Rounded Corners 26">
          <a:extLst>
            <a:ext uri="{FF2B5EF4-FFF2-40B4-BE49-F238E27FC236}">
              <a16:creationId xmlns:a16="http://schemas.microsoft.com/office/drawing/2014/main" id="{16AED0B4-F7B8-4C82-B6C2-4BEC1282064B}"/>
            </a:ext>
          </a:extLst>
        </xdr:cNvPr>
        <xdr:cNvSpPr/>
      </xdr:nvSpPr>
      <xdr:spPr>
        <a:xfrm>
          <a:off x="11705552" y="1137381"/>
          <a:ext cx="1246601" cy="401782"/>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lang="en-IN" sz="1100" b="1"/>
            <a:t>Total Male</a:t>
          </a:r>
          <a:r>
            <a:rPr lang="en-IN" sz="1100" b="1" baseline="0"/>
            <a:t> </a:t>
          </a:r>
        </a:p>
      </xdr:txBody>
    </xdr:sp>
    <xdr:clientData/>
  </xdr:twoCellAnchor>
  <xdr:twoCellAnchor>
    <xdr:from>
      <xdr:col>17</xdr:col>
      <xdr:colOff>15609</xdr:colOff>
      <xdr:row>8</xdr:row>
      <xdr:rowOff>146295</xdr:rowOff>
    </xdr:from>
    <xdr:to>
      <xdr:col>18</xdr:col>
      <xdr:colOff>547470</xdr:colOff>
      <xdr:row>11</xdr:row>
      <xdr:rowOff>61679</xdr:rowOff>
    </xdr:to>
    <xdr:sp macro="" textlink="'Student '!AR97">
      <xdr:nvSpPr>
        <xdr:cNvPr id="28" name="Oval 27">
          <a:extLst>
            <a:ext uri="{FF2B5EF4-FFF2-40B4-BE49-F238E27FC236}">
              <a16:creationId xmlns:a16="http://schemas.microsoft.com/office/drawing/2014/main" id="{5901757B-77D7-425F-9550-DED331D27789}"/>
            </a:ext>
          </a:extLst>
        </xdr:cNvPr>
        <xdr:cNvSpPr/>
      </xdr:nvSpPr>
      <xdr:spPr>
        <a:xfrm>
          <a:off x="10352639" y="1624113"/>
          <a:ext cx="1139922" cy="469566"/>
        </a:xfrm>
        <a:prstGeom prst="ellipse">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fld id="{CAAA7EB2-67F1-4F3D-B5E3-B01AFF9F5412}" type="TxLink">
            <a:rPr lang="en-US" sz="1100" b="0" i="0" u="none" strike="noStrike">
              <a:solidFill>
                <a:srgbClr val="000000"/>
              </a:solidFill>
              <a:latin typeface="Aptos Narrow"/>
            </a:rPr>
            <a:pPr algn="ctr"/>
            <a:t>49</a:t>
          </a:fld>
          <a:endParaRPr lang="en-IN" sz="1100" b="1"/>
        </a:p>
      </xdr:txBody>
    </xdr:sp>
    <xdr:clientData/>
  </xdr:twoCellAnchor>
  <xdr:twoCellAnchor>
    <xdr:from>
      <xdr:col>16</xdr:col>
      <xdr:colOff>594668</xdr:colOff>
      <xdr:row>6</xdr:row>
      <xdr:rowOff>30787</xdr:rowOff>
    </xdr:from>
    <xdr:to>
      <xdr:col>19</xdr:col>
      <xdr:colOff>17087</xdr:colOff>
      <xdr:row>8</xdr:row>
      <xdr:rowOff>61268</xdr:rowOff>
    </xdr:to>
    <xdr:sp macro="" textlink="">
      <xdr:nvSpPr>
        <xdr:cNvPr id="29" name="Rectangle: Rounded Corners 28">
          <a:extLst>
            <a:ext uri="{FF2B5EF4-FFF2-40B4-BE49-F238E27FC236}">
              <a16:creationId xmlns:a16="http://schemas.microsoft.com/office/drawing/2014/main" id="{B4D09450-3AF8-4B96-8D72-70A019ECA909}"/>
            </a:ext>
          </a:extLst>
        </xdr:cNvPr>
        <xdr:cNvSpPr/>
      </xdr:nvSpPr>
      <xdr:spPr>
        <a:xfrm>
          <a:off x="10323638" y="1139151"/>
          <a:ext cx="1246601" cy="399935"/>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lang="en-IN" sz="1100" b="1"/>
            <a:t>Total Female</a:t>
          </a:r>
          <a:r>
            <a:rPr lang="en-IN" sz="1100" b="1" baseline="0"/>
            <a:t> </a:t>
          </a:r>
        </a:p>
      </xdr:txBody>
    </xdr:sp>
    <xdr:clientData/>
  </xdr:twoCellAnchor>
  <xdr:twoCellAnchor>
    <xdr:from>
      <xdr:col>14</xdr:col>
      <xdr:colOff>464127</xdr:colOff>
      <xdr:row>8</xdr:row>
      <xdr:rowOff>159413</xdr:rowOff>
    </xdr:from>
    <xdr:to>
      <xdr:col>16</xdr:col>
      <xdr:colOff>387927</xdr:colOff>
      <xdr:row>11</xdr:row>
      <xdr:rowOff>74797</xdr:rowOff>
    </xdr:to>
    <xdr:sp macro="" textlink="'Student '!AQ43">
      <xdr:nvSpPr>
        <xdr:cNvPr id="30" name="Oval 29">
          <a:extLst>
            <a:ext uri="{FF2B5EF4-FFF2-40B4-BE49-F238E27FC236}">
              <a16:creationId xmlns:a16="http://schemas.microsoft.com/office/drawing/2014/main" id="{DF8AA633-644C-4EB7-BCBE-A76E07FE6833}"/>
            </a:ext>
          </a:extLst>
        </xdr:cNvPr>
        <xdr:cNvSpPr/>
      </xdr:nvSpPr>
      <xdr:spPr>
        <a:xfrm>
          <a:off x="8976975" y="1637231"/>
          <a:ext cx="1139922" cy="469566"/>
        </a:xfrm>
        <a:prstGeom prst="ellipse">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fld id="{9107FF7C-B894-423F-9DB8-DDF3203CD6D3}" type="TxLink">
            <a:rPr lang="en-US" sz="1100" b="0" i="0" u="none" strike="noStrike">
              <a:solidFill>
                <a:srgbClr val="000000"/>
              </a:solidFill>
              <a:latin typeface="Aptos Narrow"/>
            </a:rPr>
            <a:pPr algn="ctr"/>
            <a:t>69.61</a:t>
          </a:fld>
          <a:endParaRPr lang="en-US" sz="1100" i="0" u="none" strike="noStrike">
            <a:solidFill>
              <a:srgbClr val="000000"/>
            </a:solidFill>
            <a:latin typeface="Aptos Narrow"/>
          </a:endParaRPr>
        </a:p>
      </xdr:txBody>
    </xdr:sp>
    <xdr:clientData/>
  </xdr:twoCellAnchor>
  <xdr:twoCellAnchor>
    <xdr:from>
      <xdr:col>14</xdr:col>
      <xdr:colOff>396010</xdr:colOff>
      <xdr:row>6</xdr:row>
      <xdr:rowOff>30710</xdr:rowOff>
    </xdr:from>
    <xdr:to>
      <xdr:col>16</xdr:col>
      <xdr:colOff>426490</xdr:colOff>
      <xdr:row>8</xdr:row>
      <xdr:rowOff>61191</xdr:rowOff>
    </xdr:to>
    <xdr:sp macro="" textlink="">
      <xdr:nvSpPr>
        <xdr:cNvPr id="31" name="Rectangle: Rounded Corners 30">
          <a:extLst>
            <a:ext uri="{FF2B5EF4-FFF2-40B4-BE49-F238E27FC236}">
              <a16:creationId xmlns:a16="http://schemas.microsoft.com/office/drawing/2014/main" id="{E0A34F1D-2FB0-4EE4-951B-E3CC914C1F0D}"/>
            </a:ext>
          </a:extLst>
        </xdr:cNvPr>
        <xdr:cNvSpPr/>
      </xdr:nvSpPr>
      <xdr:spPr>
        <a:xfrm>
          <a:off x="8908858" y="1139074"/>
          <a:ext cx="1246602" cy="399935"/>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lang="en-IN" sz="1100" b="1" baseline="0"/>
            <a:t>Final Score Avg.</a:t>
          </a:r>
        </a:p>
      </xdr:txBody>
    </xdr:sp>
    <xdr:clientData/>
  </xdr:twoCellAnchor>
  <xdr:twoCellAnchor editAs="oneCell">
    <xdr:from>
      <xdr:col>8</xdr:col>
      <xdr:colOff>30480</xdr:colOff>
      <xdr:row>8</xdr:row>
      <xdr:rowOff>121921</xdr:rowOff>
    </xdr:from>
    <xdr:to>
      <xdr:col>11</xdr:col>
      <xdr:colOff>30480</xdr:colOff>
      <xdr:row>12</xdr:row>
      <xdr:rowOff>83821</xdr:rowOff>
    </xdr:to>
    <mc:AlternateContent xmlns:mc="http://schemas.openxmlformats.org/markup-compatibility/2006" xmlns:a14="http://schemas.microsoft.com/office/drawing/2010/main">
      <mc:Choice Requires="a14">
        <xdr:graphicFrame macro="">
          <xdr:nvGraphicFramePr>
            <xdr:cNvPr id="32" name="Frist_Name ">
              <a:extLst>
                <a:ext uri="{FF2B5EF4-FFF2-40B4-BE49-F238E27FC236}">
                  <a16:creationId xmlns:a16="http://schemas.microsoft.com/office/drawing/2014/main" id="{21237B95-21FC-8881-4D14-C6441036CABA}"/>
                </a:ext>
              </a:extLst>
            </xdr:cNvPr>
            <xdr:cNvGraphicFramePr/>
          </xdr:nvGraphicFramePr>
          <xdr:xfrm>
            <a:off x="0" y="0"/>
            <a:ext cx="0" cy="0"/>
          </xdr:xfrm>
          <a:graphic>
            <a:graphicData uri="http://schemas.microsoft.com/office/drawing/2010/slicer">
              <sle:slicer xmlns:sle="http://schemas.microsoft.com/office/drawing/2010/slicer" name="Frist_Name "/>
            </a:graphicData>
          </a:graphic>
        </xdr:graphicFrame>
      </mc:Choice>
      <mc:Fallback xmlns="">
        <xdr:sp macro="" textlink="">
          <xdr:nvSpPr>
            <xdr:cNvPr id="0" name=""/>
            <xdr:cNvSpPr>
              <a:spLocks noTextEdit="1"/>
            </xdr:cNvSpPr>
          </xdr:nvSpPr>
          <xdr:spPr>
            <a:xfrm>
              <a:off x="4894965" y="1599739"/>
              <a:ext cx="1824182" cy="7008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129540</xdr:colOff>
      <xdr:row>0</xdr:row>
      <xdr:rowOff>45720</xdr:rowOff>
    </xdr:from>
    <xdr:to>
      <xdr:col>14</xdr:col>
      <xdr:colOff>129540</xdr:colOff>
      <xdr:row>5</xdr:row>
      <xdr:rowOff>60960</xdr:rowOff>
    </xdr:to>
    <mc:AlternateContent xmlns:mc="http://schemas.openxmlformats.org/markup-compatibility/2006" xmlns:a14="http://schemas.microsoft.com/office/drawing/2010/main">
      <mc:Choice Requires="a14">
        <xdr:graphicFrame macro="">
          <xdr:nvGraphicFramePr>
            <xdr:cNvPr id="33" name="Gender">
              <a:extLst>
                <a:ext uri="{FF2B5EF4-FFF2-40B4-BE49-F238E27FC236}">
                  <a16:creationId xmlns:a16="http://schemas.microsoft.com/office/drawing/2014/main" id="{F5A36D26-CA6E-FAF2-ECC9-25F6A91E934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818207" y="45720"/>
              <a:ext cx="1824181" cy="9388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152400</xdr:colOff>
      <xdr:row>5</xdr:row>
      <xdr:rowOff>91440</xdr:rowOff>
    </xdr:from>
    <xdr:to>
      <xdr:col>14</xdr:col>
      <xdr:colOff>152400</xdr:colOff>
      <xdr:row>12</xdr:row>
      <xdr:rowOff>83821</xdr:rowOff>
    </xdr:to>
    <mc:AlternateContent xmlns:mc="http://schemas.openxmlformats.org/markup-compatibility/2006" xmlns:a14="http://schemas.microsoft.com/office/drawing/2010/main">
      <mc:Choice Requires="a14">
        <xdr:graphicFrame macro="">
          <xdr:nvGraphicFramePr>
            <xdr:cNvPr id="34" name="Class">
              <a:extLst>
                <a:ext uri="{FF2B5EF4-FFF2-40B4-BE49-F238E27FC236}">
                  <a16:creationId xmlns:a16="http://schemas.microsoft.com/office/drawing/2014/main" id="{ACDEF495-83A3-3C2F-BD6A-801B05073AD9}"/>
                </a:ext>
              </a:extLst>
            </xdr:cNvPr>
            <xdr:cNvGraphicFramePr/>
          </xdr:nvGraphicFramePr>
          <xdr:xfrm>
            <a:off x="0" y="0"/>
            <a:ext cx="0" cy="0"/>
          </xdr:xfrm>
          <a:graphic>
            <a:graphicData uri="http://schemas.microsoft.com/office/drawing/2010/slicer">
              <sle:slicer xmlns:sle="http://schemas.microsoft.com/office/drawing/2010/slicer" name="Class"/>
            </a:graphicData>
          </a:graphic>
        </xdr:graphicFrame>
      </mc:Choice>
      <mc:Fallback xmlns="">
        <xdr:sp macro="" textlink="">
          <xdr:nvSpPr>
            <xdr:cNvPr id="0" name=""/>
            <xdr:cNvSpPr>
              <a:spLocks noTextEdit="1"/>
            </xdr:cNvSpPr>
          </xdr:nvSpPr>
          <xdr:spPr>
            <a:xfrm>
              <a:off x="6841067" y="1015076"/>
              <a:ext cx="1824181" cy="12854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30480</xdr:colOff>
      <xdr:row>0</xdr:row>
      <xdr:rowOff>45719</xdr:rowOff>
    </xdr:from>
    <xdr:to>
      <xdr:col>11</xdr:col>
      <xdr:colOff>30480</xdr:colOff>
      <xdr:row>8</xdr:row>
      <xdr:rowOff>91440</xdr:rowOff>
    </xdr:to>
    <mc:AlternateContent xmlns:mc="http://schemas.openxmlformats.org/markup-compatibility/2006" xmlns:a14="http://schemas.microsoft.com/office/drawing/2010/main">
      <mc:Choice Requires="a14">
        <xdr:graphicFrame macro="">
          <xdr:nvGraphicFramePr>
            <xdr:cNvPr id="35" name="Section">
              <a:extLst>
                <a:ext uri="{FF2B5EF4-FFF2-40B4-BE49-F238E27FC236}">
                  <a16:creationId xmlns:a16="http://schemas.microsoft.com/office/drawing/2014/main" id="{887A9421-7952-2050-C6A0-4FF068A8CC68}"/>
                </a:ext>
              </a:extLst>
            </xdr:cNvPr>
            <xdr:cNvGraphicFramePr/>
          </xdr:nvGraphicFramePr>
          <xdr:xfrm>
            <a:off x="0" y="0"/>
            <a:ext cx="0" cy="0"/>
          </xdr:xfrm>
          <a:graphic>
            <a:graphicData uri="http://schemas.microsoft.com/office/drawing/2010/slicer">
              <sle:slicer xmlns:sle="http://schemas.microsoft.com/office/drawing/2010/slicer" name="Section"/>
            </a:graphicData>
          </a:graphic>
        </xdr:graphicFrame>
      </mc:Choice>
      <mc:Fallback xmlns="">
        <xdr:sp macro="" textlink="">
          <xdr:nvSpPr>
            <xdr:cNvPr id="0" name=""/>
            <xdr:cNvSpPr>
              <a:spLocks noTextEdit="1"/>
            </xdr:cNvSpPr>
          </xdr:nvSpPr>
          <xdr:spPr>
            <a:xfrm>
              <a:off x="4894965" y="45719"/>
              <a:ext cx="1824182" cy="15235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251230</xdr:colOff>
      <xdr:row>0</xdr:row>
      <xdr:rowOff>37869</xdr:rowOff>
    </xdr:from>
    <xdr:to>
      <xdr:col>17</xdr:col>
      <xdr:colOff>255848</xdr:colOff>
      <xdr:row>5</xdr:row>
      <xdr:rowOff>130849</xdr:rowOff>
    </xdr:to>
    <mc:AlternateContent xmlns:mc="http://schemas.openxmlformats.org/markup-compatibility/2006" xmlns:a14="http://schemas.microsoft.com/office/drawing/2010/main">
      <mc:Choice Requires="a14">
        <xdr:graphicFrame macro="">
          <xdr:nvGraphicFramePr>
            <xdr:cNvPr id="9" name="Result">
              <a:extLst>
                <a:ext uri="{FF2B5EF4-FFF2-40B4-BE49-F238E27FC236}">
                  <a16:creationId xmlns:a16="http://schemas.microsoft.com/office/drawing/2014/main" id="{9394CD47-9CF4-F64B-1C34-93CEAFA33859}"/>
                </a:ext>
              </a:extLst>
            </xdr:cNvPr>
            <xdr:cNvGraphicFramePr/>
          </xdr:nvGraphicFramePr>
          <xdr:xfrm>
            <a:off x="0" y="0"/>
            <a:ext cx="0" cy="0"/>
          </xdr:xfrm>
          <a:graphic>
            <a:graphicData uri="http://schemas.microsoft.com/office/drawing/2010/slicer">
              <sle:slicer xmlns:sle="http://schemas.microsoft.com/office/drawing/2010/slicer" name="Result"/>
            </a:graphicData>
          </a:graphic>
        </xdr:graphicFrame>
      </mc:Choice>
      <mc:Fallback xmlns="">
        <xdr:sp macro="" textlink="">
          <xdr:nvSpPr>
            <xdr:cNvPr id="0" name=""/>
            <xdr:cNvSpPr>
              <a:spLocks noTextEdit="1"/>
            </xdr:cNvSpPr>
          </xdr:nvSpPr>
          <xdr:spPr>
            <a:xfrm>
              <a:off x="8764078" y="37869"/>
              <a:ext cx="1828800" cy="10166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nesh" refreshedDate="46286.708989236111" createdVersion="8" refreshedVersion="8" minRefreshableVersion="3" recordCount="100" xr:uid="{7A5A2B18-2BCE-4609-A018-068BD4A72248}">
  <cacheSource type="worksheet">
    <worksheetSource name="Table1"/>
  </cacheSource>
  <cacheFields count="20">
    <cacheField name="StudentID" numFmtId="0">
      <sharedItems containsSemiMixedTypes="0" containsString="0" containsNumber="1" containsInteger="1" minValue="1" maxValue="100"/>
    </cacheField>
    <cacheField name="Frist_Name " numFmtId="0">
      <sharedItems count="93">
        <s v="Aarav"/>
        <s v="Ananya"/>
        <s v="Rohan"/>
        <s v="Priya"/>
        <s v="Vivaan"/>
        <s v="Isha"/>
        <s v="Aditya"/>
        <s v="Diya"/>
        <s v="Arjun"/>
        <s v="Meera"/>
        <s v="Kabir"/>
        <s v="Saanvi"/>
        <s v="Reyansh"/>
        <s v="Aanya"/>
        <s v="Atharv"/>
        <s v="Kiara"/>
        <s v="Dev"/>
        <s v="Myra"/>
        <s v="Krish"/>
        <s v="Navya"/>
        <s v="Ayush"/>
        <s v="Tara"/>
        <s v="Yuvaan"/>
        <s v="Anvi"/>
        <s v="Manav"/>
        <s v="Riya"/>
        <s v="Harsh"/>
        <s v="Shanaya"/>
        <s v="Om"/>
        <s v="Siya"/>
        <s v="Dhruv"/>
        <s v="Pari"/>
        <s v="Rudra"/>
        <s v="Aadhya"/>
        <s v="Veer"/>
        <s v="Samaira"/>
        <s v="Arnav"/>
        <s v="Zara"/>
        <s v="Kartik"/>
        <s v="Ahana"/>
        <s v="Raghav"/>
        <s v="Anika"/>
        <s v="Shivansh"/>
        <s v="Anushka"/>
        <s v="Viraj"/>
        <s v="Ishita"/>
        <s v="Parth"/>
        <s v="Alisha"/>
        <s v="Neil"/>
        <s v="Muskaan"/>
        <s v="Samar"/>
        <s v="Avika"/>
        <s v="Ansh"/>
        <s v="Shreyansh"/>
        <s v="Riddhi"/>
        <s v="Advik"/>
        <s v="Shruti"/>
        <s v="Pranav"/>
        <s v="Aarohi"/>
        <s v="Sameer"/>
        <s v="Trisha"/>
        <s v="Ronit"/>
        <s v="Mahi"/>
        <s v="Abhinav"/>
        <s v="Yash"/>
        <s v="Kavya"/>
        <s v="Ritvik"/>
        <s v="Saachi"/>
        <s v="Adwait"/>
        <s v="Ira"/>
        <s v="Krishiv"/>
        <s v="Reva"/>
        <s v="Manan"/>
        <s v="Nandini"/>
        <s v="Armaan"/>
        <s v="Aaradhya"/>
        <s v="Tejas"/>
        <s v="Simran"/>
        <s v="Rajveer"/>
        <s v="Devansh"/>
        <s v="Suhani"/>
        <s v="Anaya"/>
        <s v="Meher"/>
        <s v="Vihaan"/>
        <s v="Shlok"/>
        <s v="Ruhi"/>
        <s v="Ayaan"/>
        <s v="Prisha"/>
        <s v="Shivam"/>
        <s v="Sia"/>
        <s v="Akshay"/>
        <s v="Rehan"/>
        <s v="Ishaan"/>
      </sharedItems>
    </cacheField>
    <cacheField name="Last_Name" numFmtId="0">
      <sharedItems/>
    </cacheField>
    <cacheField name="Age" numFmtId="0">
      <sharedItems containsSemiMixedTypes="0" containsString="0" containsNumber="1" containsInteger="1" minValue="15" maxValue="16"/>
    </cacheField>
    <cacheField name="Gender" numFmtId="0">
      <sharedItems count="2">
        <s v="Male"/>
        <s v="Female"/>
      </sharedItems>
    </cacheField>
    <cacheField name="Class" numFmtId="0">
      <sharedItems containsSemiMixedTypes="0" containsString="0" containsNumber="1" containsInteger="1" minValue="10" maxValue="12" count="3">
        <n v="11"/>
        <n v="10"/>
        <n v="12"/>
      </sharedItems>
    </cacheField>
    <cacheField name="Section" numFmtId="0">
      <sharedItems count="4">
        <s v="A"/>
        <s v="B"/>
        <s v="C"/>
        <s v="D"/>
      </sharedItems>
    </cacheField>
    <cacheField name="Attendance %" numFmtId="0">
      <sharedItems containsSemiMixedTypes="0" containsString="0" containsNumber="1" containsInteger="1" minValue="56" maxValue="99" count="44">
        <n v="92"/>
        <n v="95"/>
        <n v="78"/>
        <n v="88"/>
        <n v="65"/>
        <n v="97"/>
        <n v="84"/>
        <n v="72"/>
        <n v="90"/>
        <n v="81"/>
        <n v="68"/>
        <n v="93"/>
        <n v="87"/>
        <n v="76"/>
        <n v="61"/>
        <n v="98"/>
        <n v="89"/>
        <n v="83"/>
        <n v="70"/>
        <n v="94"/>
        <n v="86"/>
        <n v="79"/>
        <n v="63"/>
        <n v="91"/>
        <n v="85"/>
        <n v="74"/>
        <n v="69"/>
        <n v="96"/>
        <n v="82"/>
        <n v="67"/>
        <n v="80"/>
        <n v="59"/>
        <n v="99"/>
        <n v="77"/>
        <n v="71"/>
        <n v="64"/>
        <n v="73"/>
        <n v="60"/>
        <n v="66"/>
        <n v="62"/>
        <n v="75"/>
        <n v="57"/>
        <n v="56"/>
        <n v="58"/>
      </sharedItems>
    </cacheField>
    <cacheField name="Assignments Avg" numFmtId="0">
      <sharedItems containsSemiMixedTypes="0" containsString="0" containsNumber="1" containsInteger="1" minValue="49" maxValue="97"/>
    </cacheField>
    <cacheField name="Midterm Score" numFmtId="0">
      <sharedItems containsSemiMixedTypes="0" containsString="0" containsNumber="1" containsInteger="1" minValue="33" maxValue="96"/>
    </cacheField>
    <cacheField name="Final Exam Score" numFmtId="0">
      <sharedItems containsSemiMixedTypes="0" containsString="0" containsNumber="1" containsInteger="1" minValue="29" maxValue="98"/>
    </cacheField>
    <cacheField name="Project Score" numFmtId="0">
      <sharedItems containsSemiMixedTypes="0" containsString="0" containsNumber="1" containsInteger="1" minValue="40" maxValue="97"/>
    </cacheField>
    <cacheField name="Participation" numFmtId="0">
      <sharedItems containsSemiMixedTypes="0" containsString="0" containsNumber="1" containsInteger="1" minValue="38" maxValue="98"/>
    </cacheField>
    <cacheField name="Study Hours" numFmtId="0">
      <sharedItems containsSemiMixedTypes="0" containsString="0" containsNumber="1" containsInteger="1" minValue="3" maxValue="27"/>
    </cacheField>
    <cacheField name="Extracurricular" numFmtId="0">
      <sharedItems/>
    </cacheField>
    <cacheField name="Parent Education" numFmtId="0">
      <sharedItems/>
    </cacheField>
    <cacheField name="Socio-Economic" numFmtId="0">
      <sharedItems/>
    </cacheField>
    <cacheField name="Final Score" numFmtId="0">
      <sharedItems containsSemiMixedTypes="0" containsString="0" containsNumber="1" containsInteger="1" minValue="34" maxValue="97" count="50">
        <n v="84"/>
        <n v="92"/>
        <n v="63"/>
        <n v="79"/>
        <n v="45"/>
        <n v="95"/>
        <n v="73"/>
        <n v="50"/>
        <n v="86"/>
        <n v="70"/>
        <n v="46"/>
        <n v="89"/>
        <n v="77"/>
        <n v="57"/>
        <n v="41"/>
        <n v="94"/>
        <n v="81"/>
        <n v="69"/>
        <n v="91"/>
        <n v="74"/>
        <n v="65"/>
        <n v="40"/>
        <n v="87"/>
        <n v="72"/>
        <n v="44"/>
        <n v="93"/>
        <n v="68"/>
        <n v="38"/>
        <n v="97"/>
        <n v="83"/>
        <n v="62"/>
        <n v="49"/>
        <n v="90"/>
        <n v="76"/>
        <n v="55"/>
        <n v="39"/>
        <n v="66"/>
        <n v="88"/>
        <n v="59"/>
        <n v="35"/>
        <n v="64"/>
        <n v="75"/>
        <n v="67"/>
        <n v="34"/>
        <n v="85"/>
        <n v="78"/>
        <n v="61"/>
        <n v="37"/>
        <n v="96"/>
        <n v="82"/>
      </sharedItems>
    </cacheField>
    <cacheField name="Grade" numFmtId="0">
      <sharedItems count="6">
        <s v="A"/>
        <s v="A+"/>
        <s v="C"/>
        <s v="B"/>
        <s v="D"/>
        <s v="F"/>
      </sharedItems>
    </cacheField>
    <cacheField name="Result" numFmtId="0">
      <sharedItems count="2">
        <s v="Pass"/>
        <s v="Fail"/>
      </sharedItems>
    </cacheField>
  </cacheFields>
  <extLst>
    <ext xmlns:x14="http://schemas.microsoft.com/office/spreadsheetml/2009/9/main" uri="{725AE2AE-9491-48be-B2B4-4EB974FC3084}">
      <x14:pivotCacheDefinition pivotCacheId="17145886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1"/>
    <x v="0"/>
    <s v="Sharma"/>
    <n v="16"/>
    <x v="0"/>
    <x v="0"/>
    <x v="0"/>
    <x v="0"/>
    <n v="88"/>
    <n v="76"/>
    <n v="84"/>
    <n v="90"/>
    <n v="85"/>
    <n v="18"/>
    <s v="Yes"/>
    <s v="Graduate"/>
    <s v="Middle"/>
    <x v="0"/>
    <x v="0"/>
    <x v="0"/>
  </r>
  <r>
    <n v="2"/>
    <x v="1"/>
    <s v="Patel"/>
    <n v="15"/>
    <x v="1"/>
    <x v="1"/>
    <x v="0"/>
    <x v="1"/>
    <n v="92"/>
    <n v="89"/>
    <n v="94"/>
    <n v="91"/>
    <n v="93"/>
    <n v="22"/>
    <s v="Yes"/>
    <s v="Postgraduate"/>
    <s v="High"/>
    <x v="1"/>
    <x v="1"/>
    <x v="0"/>
  </r>
  <r>
    <n v="3"/>
    <x v="2"/>
    <s v="Singh"/>
    <n v="16"/>
    <x v="0"/>
    <x v="1"/>
    <x v="1"/>
    <x v="2"/>
    <n v="72"/>
    <n v="61"/>
    <n v="58"/>
    <n v="68"/>
    <n v="70"/>
    <n v="10"/>
    <s v="No"/>
    <s v="Secondary"/>
    <s v="Middle"/>
    <x v="2"/>
    <x v="2"/>
    <x v="0"/>
  </r>
  <r>
    <n v="4"/>
    <x v="3"/>
    <s v="Verma"/>
    <n v="15"/>
    <x v="1"/>
    <x v="0"/>
    <x v="1"/>
    <x v="3"/>
    <n v="85"/>
    <n v="74"/>
    <n v="79"/>
    <n v="82"/>
    <n v="80"/>
    <n v="15"/>
    <s v="Yes"/>
    <s v="Graduate"/>
    <s v="Middle"/>
    <x v="3"/>
    <x v="3"/>
    <x v="0"/>
  </r>
  <r>
    <n v="5"/>
    <x v="4"/>
    <s v="Mehta"/>
    <n v="16"/>
    <x v="0"/>
    <x v="1"/>
    <x v="2"/>
    <x v="4"/>
    <n v="58"/>
    <n v="42"/>
    <n v="38"/>
    <n v="55"/>
    <n v="50"/>
    <n v="7"/>
    <s v="No"/>
    <s v="Secondary"/>
    <s v="Low"/>
    <x v="4"/>
    <x v="4"/>
    <x v="1"/>
  </r>
  <r>
    <n v="6"/>
    <x v="5"/>
    <s v="Gupta"/>
    <n v="15"/>
    <x v="1"/>
    <x v="1"/>
    <x v="2"/>
    <x v="5"/>
    <n v="95"/>
    <n v="93"/>
    <n v="96"/>
    <n v="94"/>
    <n v="97"/>
    <n v="25"/>
    <s v="Yes"/>
    <s v="Postgraduate"/>
    <s v="High"/>
    <x v="5"/>
    <x v="1"/>
    <x v="0"/>
  </r>
  <r>
    <n v="7"/>
    <x v="6"/>
    <s v="Kumar"/>
    <n v="16"/>
    <x v="0"/>
    <x v="1"/>
    <x v="3"/>
    <x v="6"/>
    <n v="79"/>
    <n v="68"/>
    <n v="72"/>
    <n v="75"/>
    <n v="78"/>
    <n v="13"/>
    <s v="Yes"/>
    <s v="Graduate"/>
    <s v="Middle"/>
    <x v="6"/>
    <x v="3"/>
    <x v="0"/>
  </r>
  <r>
    <n v="8"/>
    <x v="7"/>
    <s v="Shah"/>
    <n v="15"/>
    <x v="1"/>
    <x v="0"/>
    <x v="3"/>
    <x v="7"/>
    <n v="65"/>
    <n v="49"/>
    <n v="44"/>
    <n v="52"/>
    <n v="60"/>
    <n v="8"/>
    <s v="No"/>
    <s v="Secondary"/>
    <s v="Low"/>
    <x v="7"/>
    <x v="4"/>
    <x v="1"/>
  </r>
  <r>
    <n v="9"/>
    <x v="8"/>
    <s v="Joshi"/>
    <n v="16"/>
    <x v="0"/>
    <x v="1"/>
    <x v="0"/>
    <x v="8"/>
    <n v="86"/>
    <n v="81"/>
    <n v="88"/>
    <n v="85"/>
    <n v="89"/>
    <n v="20"/>
    <s v="Yes"/>
    <s v="Graduate"/>
    <s v="High"/>
    <x v="8"/>
    <x v="0"/>
    <x v="0"/>
  </r>
  <r>
    <n v="10"/>
    <x v="9"/>
    <s v="Nair"/>
    <n v="15"/>
    <x v="1"/>
    <x v="1"/>
    <x v="0"/>
    <x v="9"/>
    <n v="75"/>
    <n v="66"/>
    <n v="69"/>
    <n v="70"/>
    <n v="73"/>
    <n v="12"/>
    <s v="No"/>
    <s v="Graduate"/>
    <s v="Middle"/>
    <x v="9"/>
    <x v="3"/>
    <x v="0"/>
  </r>
  <r>
    <n v="11"/>
    <x v="10"/>
    <s v="Desai"/>
    <n v="16"/>
    <x v="0"/>
    <x v="1"/>
    <x v="1"/>
    <x v="10"/>
    <n v="62"/>
    <n v="47"/>
    <n v="41"/>
    <n v="50"/>
    <n v="55"/>
    <n v="6"/>
    <s v="No"/>
    <s v="Secondary"/>
    <s v="Low"/>
    <x v="10"/>
    <x v="4"/>
    <x v="1"/>
  </r>
  <r>
    <n v="12"/>
    <x v="11"/>
    <s v="Rao"/>
    <n v="15"/>
    <x v="1"/>
    <x v="1"/>
    <x v="1"/>
    <x v="11"/>
    <n v="90"/>
    <n v="85"/>
    <n v="87"/>
    <n v="92"/>
    <n v="91"/>
    <n v="21"/>
    <s v="Yes"/>
    <s v="Postgraduate"/>
    <s v="High"/>
    <x v="11"/>
    <x v="0"/>
    <x v="0"/>
  </r>
  <r>
    <n v="13"/>
    <x v="12"/>
    <s v="Kapoor"/>
    <n v="16"/>
    <x v="0"/>
    <x v="0"/>
    <x v="2"/>
    <x v="12"/>
    <n v="82"/>
    <n v="71"/>
    <n v="76"/>
    <n v="80"/>
    <n v="79"/>
    <n v="14"/>
    <s v="Yes"/>
    <s v="Graduate"/>
    <s v="Middle"/>
    <x v="12"/>
    <x v="3"/>
    <x v="0"/>
  </r>
  <r>
    <n v="14"/>
    <x v="13"/>
    <s v="Malhotra"/>
    <n v="15"/>
    <x v="1"/>
    <x v="1"/>
    <x v="2"/>
    <x v="13"/>
    <n v="69"/>
    <n v="55"/>
    <n v="51"/>
    <n v="60"/>
    <n v="65"/>
    <n v="9"/>
    <s v="No"/>
    <s v="Secondary"/>
    <s v="Middle"/>
    <x v="13"/>
    <x v="2"/>
    <x v="0"/>
  </r>
  <r>
    <n v="15"/>
    <x v="14"/>
    <s v="Kulkarni"/>
    <n v="16"/>
    <x v="0"/>
    <x v="1"/>
    <x v="3"/>
    <x v="14"/>
    <n v="55"/>
    <n v="39"/>
    <n v="35"/>
    <n v="48"/>
    <n v="45"/>
    <n v="5"/>
    <s v="No"/>
    <s v="Secondary"/>
    <s v="Low"/>
    <x v="14"/>
    <x v="4"/>
    <x v="1"/>
  </r>
  <r>
    <n v="16"/>
    <x v="15"/>
    <s v="Choudhary"/>
    <n v="15"/>
    <x v="1"/>
    <x v="1"/>
    <x v="3"/>
    <x v="15"/>
    <n v="96"/>
    <n v="94"/>
    <n v="91"/>
    <n v="96"/>
    <n v="95"/>
    <n v="24"/>
    <s v="Yes"/>
    <s v="Postgraduate"/>
    <s v="High"/>
    <x v="15"/>
    <x v="1"/>
    <x v="0"/>
  </r>
  <r>
    <n v="17"/>
    <x v="16"/>
    <s v="Mishra"/>
    <n v="16"/>
    <x v="0"/>
    <x v="1"/>
    <x v="0"/>
    <x v="16"/>
    <n v="84"/>
    <n v="77"/>
    <n v="82"/>
    <n v="79"/>
    <n v="83"/>
    <n v="17"/>
    <s v="Yes"/>
    <s v="Graduate"/>
    <s v="Middle"/>
    <x v="16"/>
    <x v="0"/>
    <x v="0"/>
  </r>
  <r>
    <n v="18"/>
    <x v="17"/>
    <s v="Iyer"/>
    <n v="15"/>
    <x v="1"/>
    <x v="1"/>
    <x v="0"/>
    <x v="17"/>
    <n v="78"/>
    <n v="64"/>
    <n v="67"/>
    <n v="73"/>
    <n v="76"/>
    <n v="13"/>
    <s v="Yes"/>
    <s v="Graduate"/>
    <s v="Middle"/>
    <x v="17"/>
    <x v="3"/>
    <x v="0"/>
  </r>
  <r>
    <n v="19"/>
    <x v="18"/>
    <s v="Yadav"/>
    <n v="16"/>
    <x v="0"/>
    <x v="0"/>
    <x v="1"/>
    <x v="18"/>
    <n v="64"/>
    <n v="45"/>
    <n v="48"/>
    <n v="53"/>
    <n v="57"/>
    <n v="7"/>
    <s v="No"/>
    <s v="Secondary"/>
    <s v="Low"/>
    <x v="7"/>
    <x v="4"/>
    <x v="1"/>
  </r>
  <r>
    <n v="20"/>
    <x v="19"/>
    <s v="Sethi"/>
    <n v="15"/>
    <x v="1"/>
    <x v="1"/>
    <x v="1"/>
    <x v="19"/>
    <n v="91"/>
    <n v="88"/>
    <n v="90"/>
    <n v="93"/>
    <n v="92"/>
    <n v="22"/>
    <s v="Yes"/>
    <s v="Postgraduate"/>
    <s v="High"/>
    <x v="18"/>
    <x v="1"/>
    <x v="0"/>
  </r>
  <r>
    <n v="21"/>
    <x v="20"/>
    <s v="Thakur"/>
    <n v="16"/>
    <x v="0"/>
    <x v="1"/>
    <x v="2"/>
    <x v="20"/>
    <n v="80"/>
    <n v="69"/>
    <n v="73"/>
    <n v="77"/>
    <n v="75"/>
    <n v="14"/>
    <s v="Yes"/>
    <s v="Graduate"/>
    <s v="Middle"/>
    <x v="19"/>
    <x v="3"/>
    <x v="0"/>
  </r>
  <r>
    <n v="22"/>
    <x v="21"/>
    <s v="Bansal"/>
    <n v="15"/>
    <x v="1"/>
    <x v="1"/>
    <x v="2"/>
    <x v="21"/>
    <n v="73"/>
    <n v="58"/>
    <n v="62"/>
    <n v="67"/>
    <n v="70"/>
    <n v="11"/>
    <s v="No"/>
    <s v="Graduate"/>
    <s v="Middle"/>
    <x v="20"/>
    <x v="2"/>
    <x v="0"/>
  </r>
  <r>
    <n v="23"/>
    <x v="22"/>
    <s v="Jain"/>
    <n v="16"/>
    <x v="0"/>
    <x v="1"/>
    <x v="3"/>
    <x v="22"/>
    <n v="57"/>
    <n v="40"/>
    <n v="36"/>
    <n v="45"/>
    <n v="48"/>
    <n v="5"/>
    <s v="No"/>
    <s v="Secondary"/>
    <s v="Low"/>
    <x v="21"/>
    <x v="4"/>
    <x v="1"/>
  </r>
  <r>
    <n v="24"/>
    <x v="23"/>
    <s v="Agarwal"/>
    <n v="15"/>
    <x v="1"/>
    <x v="1"/>
    <x v="3"/>
    <x v="23"/>
    <n v="89"/>
    <n v="83"/>
    <n v="86"/>
    <n v="88"/>
    <n v="90"/>
    <n v="19"/>
    <s v="Yes"/>
    <s v="Postgraduate"/>
    <s v="High"/>
    <x v="22"/>
    <x v="0"/>
    <x v="0"/>
  </r>
  <r>
    <n v="25"/>
    <x v="24"/>
    <s v="Saxena"/>
    <n v="16"/>
    <x v="0"/>
    <x v="0"/>
    <x v="0"/>
    <x v="24"/>
    <n v="77"/>
    <n v="72"/>
    <n v="68"/>
    <n v="74"/>
    <n v="76"/>
    <n v="13"/>
    <s v="Yes"/>
    <s v="Graduate"/>
    <s v="Middle"/>
    <x v="23"/>
    <x v="3"/>
    <x v="0"/>
  </r>
  <r>
    <n v="26"/>
    <x v="25"/>
    <s v="Menon"/>
    <n v="15"/>
    <x v="1"/>
    <x v="1"/>
    <x v="0"/>
    <x v="25"/>
    <n v="68"/>
    <n v="51"/>
    <n v="55"/>
    <n v="61"/>
    <n v="63"/>
    <n v="8"/>
    <s v="No"/>
    <s v="Secondary"/>
    <s v="Middle"/>
    <x v="13"/>
    <x v="2"/>
    <x v="0"/>
  </r>
  <r>
    <n v="27"/>
    <x v="26"/>
    <s v="Vora"/>
    <n v="16"/>
    <x v="0"/>
    <x v="0"/>
    <x v="1"/>
    <x v="26"/>
    <n v="60"/>
    <n v="43"/>
    <n v="39"/>
    <n v="49"/>
    <n v="52"/>
    <n v="6"/>
    <s v="No"/>
    <s v="Secondary"/>
    <s v="Low"/>
    <x v="24"/>
    <x v="4"/>
    <x v="1"/>
  </r>
  <r>
    <n v="28"/>
    <x v="27"/>
    <s v="Arora"/>
    <n v="15"/>
    <x v="1"/>
    <x v="0"/>
    <x v="1"/>
    <x v="27"/>
    <n v="93"/>
    <n v="90"/>
    <n v="95"/>
    <n v="92"/>
    <n v="94"/>
    <n v="23"/>
    <s v="Yes"/>
    <s v="Postgraduate"/>
    <s v="High"/>
    <x v="25"/>
    <x v="1"/>
    <x v="0"/>
  </r>
  <r>
    <n v="29"/>
    <x v="28"/>
    <s v="Patil"/>
    <n v="16"/>
    <x v="0"/>
    <x v="1"/>
    <x v="2"/>
    <x v="3"/>
    <n v="83"/>
    <n v="75"/>
    <n v="79"/>
    <n v="81"/>
    <n v="80"/>
    <n v="16"/>
    <s v="Yes"/>
    <s v="Graduate"/>
    <s v="Middle"/>
    <x v="3"/>
    <x v="3"/>
    <x v="0"/>
  </r>
  <r>
    <n v="30"/>
    <x v="29"/>
    <s v="Joshi"/>
    <n v="15"/>
    <x v="1"/>
    <x v="1"/>
    <x v="2"/>
    <x v="28"/>
    <n v="76"/>
    <n v="63"/>
    <n v="65"/>
    <n v="70"/>
    <n v="72"/>
    <n v="12"/>
    <s v="Yes"/>
    <s v="Graduate"/>
    <s v="Middle"/>
    <x v="26"/>
    <x v="3"/>
    <x v="0"/>
  </r>
  <r>
    <n v="31"/>
    <x v="30"/>
    <s v="Reddy"/>
    <n v="16"/>
    <x v="0"/>
    <x v="1"/>
    <x v="3"/>
    <x v="29"/>
    <n v="59"/>
    <n v="44"/>
    <n v="42"/>
    <n v="51"/>
    <n v="49"/>
    <n v="6"/>
    <s v="No"/>
    <s v="Secondary"/>
    <s v="Low"/>
    <x v="4"/>
    <x v="4"/>
    <x v="1"/>
  </r>
  <r>
    <n v="32"/>
    <x v="31"/>
    <s v="Deshmukh"/>
    <n v="15"/>
    <x v="1"/>
    <x v="1"/>
    <x v="3"/>
    <x v="0"/>
    <n v="88"/>
    <n v="86"/>
    <n v="89"/>
    <n v="90"/>
    <n v="87"/>
    <n v="20"/>
    <s v="Yes"/>
    <s v="Postgraduate"/>
    <s v="High"/>
    <x v="11"/>
    <x v="0"/>
    <x v="0"/>
  </r>
  <r>
    <n v="33"/>
    <x v="32"/>
    <s v="Bose"/>
    <n v="16"/>
    <x v="0"/>
    <x v="0"/>
    <x v="0"/>
    <x v="30"/>
    <n v="74"/>
    <n v="60"/>
    <n v="64"/>
    <n v="69"/>
    <n v="68"/>
    <n v="11"/>
    <s v="No"/>
    <s v="Graduate"/>
    <s v="Middle"/>
    <x v="20"/>
    <x v="2"/>
    <x v="0"/>
  </r>
  <r>
    <n v="34"/>
    <x v="33"/>
    <s v="Sinha"/>
    <n v="15"/>
    <x v="1"/>
    <x v="1"/>
    <x v="0"/>
    <x v="12"/>
    <n v="81"/>
    <n v="73"/>
    <n v="78"/>
    <n v="76"/>
    <n v="82"/>
    <n v="15"/>
    <s v="Yes"/>
    <s v="Graduate"/>
    <s v="Middle"/>
    <x v="12"/>
    <x v="3"/>
    <x v="0"/>
  </r>
  <r>
    <n v="35"/>
    <x v="34"/>
    <s v="Chawla"/>
    <n v="16"/>
    <x v="0"/>
    <x v="1"/>
    <x v="1"/>
    <x v="31"/>
    <n v="52"/>
    <n v="37"/>
    <n v="33"/>
    <n v="44"/>
    <n v="42"/>
    <n v="4"/>
    <s v="No"/>
    <s v="Secondary"/>
    <s v="Low"/>
    <x v="27"/>
    <x v="5"/>
    <x v="1"/>
  </r>
  <r>
    <n v="36"/>
    <x v="35"/>
    <s v="Khan"/>
    <n v="15"/>
    <x v="1"/>
    <x v="1"/>
    <x v="1"/>
    <x v="32"/>
    <n v="97"/>
    <n v="95"/>
    <n v="98"/>
    <n v="97"/>
    <n v="96"/>
    <n v="26"/>
    <s v="Yes"/>
    <s v="Postgraduate"/>
    <s v="High"/>
    <x v="28"/>
    <x v="1"/>
    <x v="0"/>
  </r>
  <r>
    <n v="37"/>
    <x v="36"/>
    <s v="Goyal"/>
    <n v="16"/>
    <x v="0"/>
    <x v="1"/>
    <x v="2"/>
    <x v="8"/>
    <n v="85"/>
    <n v="79"/>
    <n v="83"/>
    <n v="84"/>
    <n v="86"/>
    <n v="18"/>
    <s v="Yes"/>
    <s v="Graduate"/>
    <s v="High"/>
    <x v="29"/>
    <x v="0"/>
    <x v="0"/>
  </r>
  <r>
    <n v="38"/>
    <x v="37"/>
    <s v="Sheikh"/>
    <n v="15"/>
    <x v="1"/>
    <x v="0"/>
    <x v="2"/>
    <x v="33"/>
    <n v="71"/>
    <n v="56"/>
    <n v="60"/>
    <n v="64"/>
    <n v="67"/>
    <n v="9"/>
    <s v="No"/>
    <s v="Graduate"/>
    <s v="Middle"/>
    <x v="30"/>
    <x v="2"/>
    <x v="0"/>
  </r>
  <r>
    <n v="39"/>
    <x v="38"/>
    <s v="Soni"/>
    <n v="16"/>
    <x v="0"/>
    <x v="1"/>
    <x v="3"/>
    <x v="34"/>
    <n v="63"/>
    <n v="48"/>
    <n v="45"/>
    <n v="54"/>
    <n v="56"/>
    <n v="7"/>
    <s v="No"/>
    <s v="Secondary"/>
    <s v="Low"/>
    <x v="31"/>
    <x v="4"/>
    <x v="1"/>
  </r>
  <r>
    <n v="40"/>
    <x v="39"/>
    <s v="Dutta"/>
    <n v="15"/>
    <x v="1"/>
    <x v="1"/>
    <x v="3"/>
    <x v="11"/>
    <n v="90"/>
    <n v="87"/>
    <n v="91"/>
    <n v="89"/>
    <n v="92"/>
    <n v="21"/>
    <s v="Yes"/>
    <s v="Postgraduate"/>
    <s v="High"/>
    <x v="32"/>
    <x v="1"/>
    <x v="0"/>
  </r>
  <r>
    <n v="41"/>
    <x v="40"/>
    <s v="Bhat"/>
    <n v="16"/>
    <x v="0"/>
    <x v="1"/>
    <x v="0"/>
    <x v="6"/>
    <n v="78"/>
    <n v="70"/>
    <n v="74"/>
    <n v="72"/>
    <n v="77"/>
    <n v="14"/>
    <s v="Yes"/>
    <s v="Graduate"/>
    <s v="Middle"/>
    <x v="6"/>
    <x v="3"/>
    <x v="0"/>
  </r>
  <r>
    <n v="42"/>
    <x v="41"/>
    <s v="Paul"/>
    <n v="15"/>
    <x v="1"/>
    <x v="1"/>
    <x v="0"/>
    <x v="16"/>
    <n v="86"/>
    <n v="80"/>
    <n v="85"/>
    <n v="83"/>
    <n v="84"/>
    <n v="17"/>
    <s v="Yes"/>
    <s v="Graduate"/>
    <s v="Middle"/>
    <x v="29"/>
    <x v="0"/>
    <x v="0"/>
  </r>
  <r>
    <n v="43"/>
    <x v="42"/>
    <s v="Tiwari"/>
    <n v="16"/>
    <x v="0"/>
    <x v="1"/>
    <x v="1"/>
    <x v="35"/>
    <n v="56"/>
    <n v="41"/>
    <n v="37"/>
    <n v="47"/>
    <n v="46"/>
    <n v="5"/>
    <s v="No"/>
    <s v="Secondary"/>
    <s v="Low"/>
    <x v="14"/>
    <x v="4"/>
    <x v="1"/>
  </r>
  <r>
    <n v="44"/>
    <x v="43"/>
    <s v="Roy"/>
    <n v="15"/>
    <x v="1"/>
    <x v="0"/>
    <x v="1"/>
    <x v="1"/>
    <n v="92"/>
    <n v="89"/>
    <n v="93"/>
    <n v="94"/>
    <n v="91"/>
    <n v="23"/>
    <s v="Yes"/>
    <s v="Postgraduate"/>
    <s v="High"/>
    <x v="1"/>
    <x v="1"/>
    <x v="0"/>
  </r>
  <r>
    <n v="45"/>
    <x v="44"/>
    <s v="Bhatt"/>
    <n v="16"/>
    <x v="0"/>
    <x v="1"/>
    <x v="2"/>
    <x v="9"/>
    <n v="75"/>
    <n v="65"/>
    <n v="70"/>
    <n v="73"/>
    <n v="71"/>
    <n v="12"/>
    <s v="No"/>
    <s v="Graduate"/>
    <s v="Middle"/>
    <x v="17"/>
    <x v="3"/>
    <x v="0"/>
  </r>
  <r>
    <n v="46"/>
    <x v="45"/>
    <s v="Das"/>
    <n v="15"/>
    <x v="1"/>
    <x v="1"/>
    <x v="2"/>
    <x v="20"/>
    <n v="80"/>
    <n v="72"/>
    <n v="77"/>
    <n v="78"/>
    <n v="79"/>
    <n v="15"/>
    <s v="Yes"/>
    <s v="Graduate"/>
    <s v="Middle"/>
    <x v="33"/>
    <x v="3"/>
    <x v="0"/>
  </r>
  <r>
    <n v="47"/>
    <x v="46"/>
    <s v="Pandey"/>
    <n v="16"/>
    <x v="0"/>
    <x v="0"/>
    <x v="3"/>
    <x v="36"/>
    <n v="67"/>
    <n v="52"/>
    <n v="47"/>
    <n v="58"/>
    <n v="55"/>
    <n v="8"/>
    <s v="No"/>
    <s v="Secondary"/>
    <s v="Middle"/>
    <x v="34"/>
    <x v="2"/>
    <x v="0"/>
  </r>
  <r>
    <n v="48"/>
    <x v="47"/>
    <s v="Fernandes"/>
    <n v="15"/>
    <x v="1"/>
    <x v="0"/>
    <x v="3"/>
    <x v="15"/>
    <n v="94"/>
    <n v="91"/>
    <n v="96"/>
    <n v="95"/>
    <n v="97"/>
    <n v="25"/>
    <s v="Yes"/>
    <s v="Postgraduate"/>
    <s v="High"/>
    <x v="5"/>
    <x v="1"/>
    <x v="0"/>
  </r>
  <r>
    <n v="49"/>
    <x v="48"/>
    <s v="Thomas"/>
    <n v="16"/>
    <x v="0"/>
    <x v="1"/>
    <x v="0"/>
    <x v="37"/>
    <n v="54"/>
    <n v="38"/>
    <n v="34"/>
    <n v="46"/>
    <n v="44"/>
    <n v="5"/>
    <s v="No"/>
    <s v="Secondary"/>
    <s v="Low"/>
    <x v="35"/>
    <x v="5"/>
    <x v="1"/>
  </r>
  <r>
    <n v="50"/>
    <x v="49"/>
    <s v="Kapoor"/>
    <n v="15"/>
    <x v="1"/>
    <x v="1"/>
    <x v="0"/>
    <x v="8"/>
    <n v="87"/>
    <n v="82"/>
    <n v="88"/>
    <n v="86"/>
    <n v="89"/>
    <n v="19"/>
    <s v="Yes"/>
    <s v="Graduate"/>
    <s v="High"/>
    <x v="8"/>
    <x v="0"/>
    <x v="0"/>
  </r>
  <r>
    <n v="51"/>
    <x v="50"/>
    <s v="Gupta"/>
    <n v="16"/>
    <x v="0"/>
    <x v="1"/>
    <x v="1"/>
    <x v="17"/>
    <n v="77"/>
    <n v="67"/>
    <n v="71"/>
    <n v="75"/>
    <n v="74"/>
    <n v="13"/>
    <s v="Yes"/>
    <s v="Graduate"/>
    <s v="Middle"/>
    <x v="23"/>
    <x v="3"/>
    <x v="0"/>
  </r>
  <r>
    <n v="52"/>
    <x v="51"/>
    <s v="Singh"/>
    <n v="15"/>
    <x v="1"/>
    <x v="1"/>
    <x v="1"/>
    <x v="2"/>
    <n v="72"/>
    <n v="59"/>
    <n v="63"/>
    <n v="66"/>
    <n v="69"/>
    <n v="10"/>
    <s v="No"/>
    <s v="Graduate"/>
    <s v="Middle"/>
    <x v="20"/>
    <x v="2"/>
    <x v="0"/>
  </r>
  <r>
    <n v="53"/>
    <x v="52"/>
    <s v="Verma"/>
    <n v="16"/>
    <x v="0"/>
    <x v="0"/>
    <x v="2"/>
    <x v="38"/>
    <n v="58"/>
    <n v="43"/>
    <n v="40"/>
    <n v="48"/>
    <n v="51"/>
    <n v="6"/>
    <s v="No"/>
    <s v="Secondary"/>
    <s v="Low"/>
    <x v="24"/>
    <x v="4"/>
    <x v="1"/>
  </r>
  <r>
    <n v="54"/>
    <x v="19"/>
    <s v="Joshi"/>
    <n v="15"/>
    <x v="1"/>
    <x v="0"/>
    <x v="2"/>
    <x v="19"/>
    <n v="91"/>
    <n v="86"/>
    <n v="92"/>
    <n v="90"/>
    <n v="93"/>
    <n v="22"/>
    <s v="Yes"/>
    <s v="Postgraduate"/>
    <s v="High"/>
    <x v="18"/>
    <x v="1"/>
    <x v="0"/>
  </r>
  <r>
    <n v="55"/>
    <x v="53"/>
    <s v="Patel"/>
    <n v="16"/>
    <x v="0"/>
    <x v="1"/>
    <x v="3"/>
    <x v="3"/>
    <n v="82"/>
    <n v="74"/>
    <n v="80"/>
    <n v="79"/>
    <n v="81"/>
    <n v="16"/>
    <s v="Yes"/>
    <s v="Graduate"/>
    <s v="Middle"/>
    <x v="3"/>
    <x v="3"/>
    <x v="0"/>
  </r>
  <r>
    <n v="56"/>
    <x v="54"/>
    <s v="Shah"/>
    <n v="15"/>
    <x v="1"/>
    <x v="1"/>
    <x v="3"/>
    <x v="24"/>
    <n v="79"/>
    <n v="68"/>
    <n v="73"/>
    <n v="76"/>
    <n v="78"/>
    <n v="14"/>
    <s v="Yes"/>
    <s v="Graduate"/>
    <s v="Middle"/>
    <x v="6"/>
    <x v="3"/>
    <x v="0"/>
  </r>
  <r>
    <n v="57"/>
    <x v="55"/>
    <s v="Nair"/>
    <n v="16"/>
    <x v="0"/>
    <x v="1"/>
    <x v="0"/>
    <x v="39"/>
    <n v="55"/>
    <n v="40"/>
    <n v="35"/>
    <n v="43"/>
    <n v="47"/>
    <n v="5"/>
    <s v="No"/>
    <s v="Secondary"/>
    <s v="Low"/>
    <x v="21"/>
    <x v="4"/>
    <x v="1"/>
  </r>
  <r>
    <n v="58"/>
    <x v="56"/>
    <s v="Mehta"/>
    <n v="15"/>
    <x v="1"/>
    <x v="1"/>
    <x v="0"/>
    <x v="5"/>
    <n v="95"/>
    <n v="92"/>
    <n v="94"/>
    <n v="96"/>
    <n v="95"/>
    <n v="24"/>
    <s v="Yes"/>
    <s v="Postgraduate"/>
    <s v="High"/>
    <x v="5"/>
    <x v="1"/>
    <x v="0"/>
  </r>
  <r>
    <n v="59"/>
    <x v="57"/>
    <s v="Iyer"/>
    <n v="16"/>
    <x v="0"/>
    <x v="2"/>
    <x v="1"/>
    <x v="21"/>
    <n v="73"/>
    <n v="61"/>
    <n v="66"/>
    <n v="70"/>
    <n v="68"/>
    <n v="11"/>
    <s v="No"/>
    <s v="Graduate"/>
    <s v="Middle"/>
    <x v="36"/>
    <x v="2"/>
    <x v="0"/>
  </r>
  <r>
    <n v="60"/>
    <x v="58"/>
    <s v="Reddy"/>
    <n v="15"/>
    <x v="1"/>
    <x v="2"/>
    <x v="1"/>
    <x v="23"/>
    <n v="88"/>
    <n v="84"/>
    <n v="87"/>
    <n v="89"/>
    <n v="90"/>
    <n v="20"/>
    <s v="Yes"/>
    <s v="Graduate"/>
    <s v="High"/>
    <x v="37"/>
    <x v="0"/>
    <x v="0"/>
  </r>
  <r>
    <n v="61"/>
    <x v="59"/>
    <s v="Khan"/>
    <n v="16"/>
    <x v="0"/>
    <x v="1"/>
    <x v="2"/>
    <x v="10"/>
    <n v="61"/>
    <n v="46"/>
    <n v="43"/>
    <n v="52"/>
    <n v="50"/>
    <n v="7"/>
    <s v="No"/>
    <s v="Secondary"/>
    <s v="Low"/>
    <x v="10"/>
    <x v="4"/>
    <x v="1"/>
  </r>
  <r>
    <n v="62"/>
    <x v="60"/>
    <s v="Agarwal"/>
    <n v="15"/>
    <x v="1"/>
    <x v="1"/>
    <x v="2"/>
    <x v="11"/>
    <n v="89"/>
    <n v="85"/>
    <n v="90"/>
    <n v="91"/>
    <n v="92"/>
    <n v="21"/>
    <s v="Yes"/>
    <s v="Postgraduate"/>
    <s v="High"/>
    <x v="11"/>
    <x v="0"/>
    <x v="0"/>
  </r>
  <r>
    <n v="63"/>
    <x v="61"/>
    <s v="Kumar"/>
    <n v="16"/>
    <x v="0"/>
    <x v="1"/>
    <x v="3"/>
    <x v="28"/>
    <n v="76"/>
    <n v="63"/>
    <n v="69"/>
    <n v="71"/>
    <n v="73"/>
    <n v="12"/>
    <s v="Yes"/>
    <s v="Graduate"/>
    <s v="Middle"/>
    <x v="17"/>
    <x v="3"/>
    <x v="0"/>
  </r>
  <r>
    <n v="64"/>
    <x v="62"/>
    <s v="Jain"/>
    <n v="15"/>
    <x v="1"/>
    <x v="1"/>
    <x v="3"/>
    <x v="40"/>
    <n v="68"/>
    <n v="54"/>
    <n v="58"/>
    <n v="62"/>
    <n v="64"/>
    <n v="9"/>
    <s v="No"/>
    <s v="Graduate"/>
    <s v="Middle"/>
    <x v="38"/>
    <x v="2"/>
    <x v="0"/>
  </r>
  <r>
    <n v="65"/>
    <x v="63"/>
    <s v="Rao"/>
    <n v="16"/>
    <x v="0"/>
    <x v="2"/>
    <x v="0"/>
    <x v="41"/>
    <n v="49"/>
    <n v="35"/>
    <n v="31"/>
    <n v="42"/>
    <n v="40"/>
    <n v="4"/>
    <s v="No"/>
    <s v="Secondary"/>
    <s v="Low"/>
    <x v="39"/>
    <x v="5"/>
    <x v="1"/>
  </r>
  <r>
    <n v="66"/>
    <x v="7"/>
    <s v="Malhotra"/>
    <n v="15"/>
    <x v="1"/>
    <x v="1"/>
    <x v="0"/>
    <x v="27"/>
    <n v="93"/>
    <n v="91"/>
    <n v="95"/>
    <n v="94"/>
    <n v="96"/>
    <n v="23"/>
    <s v="Yes"/>
    <s v="Postgraduate"/>
    <s v="High"/>
    <x v="15"/>
    <x v="1"/>
    <x v="0"/>
  </r>
  <r>
    <n v="67"/>
    <x v="64"/>
    <s v="Thakur"/>
    <n v="16"/>
    <x v="0"/>
    <x v="2"/>
    <x v="1"/>
    <x v="12"/>
    <n v="81"/>
    <n v="73"/>
    <n v="78"/>
    <n v="80"/>
    <n v="79"/>
    <n v="15"/>
    <s v="Yes"/>
    <s v="Graduate"/>
    <s v="Middle"/>
    <x v="12"/>
    <x v="3"/>
    <x v="0"/>
  </r>
  <r>
    <n v="68"/>
    <x v="65"/>
    <s v="Bansal"/>
    <n v="15"/>
    <x v="1"/>
    <x v="2"/>
    <x v="1"/>
    <x v="16"/>
    <n v="84"/>
    <n v="76"/>
    <n v="82"/>
    <n v="85"/>
    <n v="83"/>
    <n v="17"/>
    <s v="Yes"/>
    <s v="Graduate"/>
    <s v="Middle"/>
    <x v="16"/>
    <x v="0"/>
    <x v="0"/>
  </r>
  <r>
    <n v="69"/>
    <x v="66"/>
    <s v="Sethi"/>
    <n v="16"/>
    <x v="0"/>
    <x v="1"/>
    <x v="2"/>
    <x v="18"/>
    <n v="62"/>
    <n v="45"/>
    <n v="41"/>
    <n v="50"/>
    <n v="53"/>
    <n v="6"/>
    <s v="No"/>
    <s v="Secondary"/>
    <s v="Low"/>
    <x v="4"/>
    <x v="4"/>
    <x v="1"/>
  </r>
  <r>
    <n v="70"/>
    <x v="67"/>
    <s v="Kapoor"/>
    <n v="15"/>
    <x v="1"/>
    <x v="1"/>
    <x v="2"/>
    <x v="0"/>
    <n v="90"/>
    <n v="87"/>
    <n v="89"/>
    <n v="91"/>
    <n v="90"/>
    <n v="21"/>
    <s v="Yes"/>
    <s v="Postgraduate"/>
    <s v="High"/>
    <x v="32"/>
    <x v="1"/>
    <x v="0"/>
  </r>
  <r>
    <n v="71"/>
    <x v="68"/>
    <s v="Kulkarni"/>
    <n v="16"/>
    <x v="0"/>
    <x v="0"/>
    <x v="3"/>
    <x v="30"/>
    <n v="74"/>
    <n v="59"/>
    <n v="64"/>
    <n v="68"/>
    <n v="70"/>
    <n v="10"/>
    <s v="No"/>
    <s v="Graduate"/>
    <s v="Middle"/>
    <x v="40"/>
    <x v="2"/>
    <x v="0"/>
  </r>
  <r>
    <n v="72"/>
    <x v="69"/>
    <s v="Choudhary"/>
    <n v="15"/>
    <x v="1"/>
    <x v="1"/>
    <x v="3"/>
    <x v="24"/>
    <n v="80"/>
    <n v="71"/>
    <n v="75"/>
    <n v="78"/>
    <n v="77"/>
    <n v="14"/>
    <s v="Yes"/>
    <s v="Graduate"/>
    <s v="Middle"/>
    <x v="41"/>
    <x v="3"/>
    <x v="0"/>
  </r>
  <r>
    <n v="73"/>
    <x v="70"/>
    <s v="Mehra"/>
    <n v="16"/>
    <x v="0"/>
    <x v="2"/>
    <x v="0"/>
    <x v="22"/>
    <n v="57"/>
    <n v="42"/>
    <n v="39"/>
    <n v="47"/>
    <n v="45"/>
    <n v="5"/>
    <s v="No"/>
    <s v="Secondary"/>
    <s v="Low"/>
    <x v="14"/>
    <x v="4"/>
    <x v="1"/>
  </r>
  <r>
    <n v="74"/>
    <x v="71"/>
    <s v="Sinha"/>
    <n v="15"/>
    <x v="1"/>
    <x v="1"/>
    <x v="0"/>
    <x v="32"/>
    <n v="97"/>
    <n v="96"/>
    <n v="98"/>
    <n v="95"/>
    <n v="97"/>
    <n v="27"/>
    <s v="Yes"/>
    <s v="Postgraduate"/>
    <s v="High"/>
    <x v="28"/>
    <x v="1"/>
    <x v="0"/>
  </r>
  <r>
    <n v="75"/>
    <x v="72"/>
    <s v="Joshi"/>
    <n v="16"/>
    <x v="0"/>
    <x v="1"/>
    <x v="1"/>
    <x v="20"/>
    <n v="79"/>
    <n v="68"/>
    <n v="72"/>
    <n v="74"/>
    <n v="76"/>
    <n v="13"/>
    <s v="Yes"/>
    <s v="Graduate"/>
    <s v="Middle"/>
    <x v="23"/>
    <x v="3"/>
    <x v="0"/>
  </r>
  <r>
    <n v="76"/>
    <x v="73"/>
    <s v="Patil"/>
    <n v="15"/>
    <x v="1"/>
    <x v="1"/>
    <x v="1"/>
    <x v="9"/>
    <n v="76"/>
    <n v="62"/>
    <n v="67"/>
    <n v="71"/>
    <n v="73"/>
    <n v="12"/>
    <s v="No"/>
    <s v="Graduate"/>
    <s v="Middle"/>
    <x v="42"/>
    <x v="2"/>
    <x v="0"/>
  </r>
  <r>
    <n v="77"/>
    <x v="74"/>
    <s v="Desai"/>
    <n v="16"/>
    <x v="0"/>
    <x v="1"/>
    <x v="2"/>
    <x v="42"/>
    <n v="50"/>
    <n v="34"/>
    <n v="29"/>
    <n v="40"/>
    <n v="38"/>
    <n v="3"/>
    <s v="No"/>
    <s v="Secondary"/>
    <s v="Low"/>
    <x v="43"/>
    <x v="5"/>
    <x v="1"/>
  </r>
  <r>
    <n v="78"/>
    <x v="75"/>
    <s v="Nair"/>
    <n v="15"/>
    <x v="1"/>
    <x v="0"/>
    <x v="2"/>
    <x v="1"/>
    <n v="92"/>
    <n v="90"/>
    <n v="93"/>
    <n v="94"/>
    <n v="95"/>
    <n v="24"/>
    <s v="Yes"/>
    <s v="Postgraduate"/>
    <s v="High"/>
    <x v="25"/>
    <x v="1"/>
    <x v="0"/>
  </r>
  <r>
    <n v="79"/>
    <x v="76"/>
    <s v="Shah"/>
    <n v="16"/>
    <x v="0"/>
    <x v="1"/>
    <x v="3"/>
    <x v="17"/>
    <n v="77"/>
    <n v="66"/>
    <n v="70"/>
    <n v="73"/>
    <n v="75"/>
    <n v="13"/>
    <s v="Yes"/>
    <s v="Graduate"/>
    <s v="Middle"/>
    <x v="9"/>
    <x v="3"/>
    <x v="0"/>
  </r>
  <r>
    <n v="80"/>
    <x v="77"/>
    <s v="Kaur"/>
    <n v="15"/>
    <x v="1"/>
    <x v="1"/>
    <x v="3"/>
    <x v="8"/>
    <n v="86"/>
    <n v="81"/>
    <n v="85"/>
    <n v="88"/>
    <n v="87"/>
    <n v="18"/>
    <s v="Yes"/>
    <s v="Graduate"/>
    <s v="High"/>
    <x v="44"/>
    <x v="0"/>
    <x v="0"/>
  </r>
  <r>
    <n v="81"/>
    <x v="78"/>
    <s v="Singh"/>
    <n v="16"/>
    <x v="0"/>
    <x v="1"/>
    <x v="0"/>
    <x v="26"/>
    <n v="61"/>
    <n v="44"/>
    <n v="40"/>
    <n v="49"/>
    <n v="52"/>
    <n v="6"/>
    <s v="No"/>
    <s v="Secondary"/>
    <s v="Low"/>
    <x v="24"/>
    <x v="4"/>
    <x v="1"/>
  </r>
  <r>
    <n v="82"/>
    <x v="17"/>
    <s v="Desai"/>
    <n v="15"/>
    <x v="1"/>
    <x v="1"/>
    <x v="0"/>
    <x v="3"/>
    <n v="83"/>
    <n v="74"/>
    <n v="79"/>
    <n v="82"/>
    <n v="80"/>
    <n v="15"/>
    <s v="Yes"/>
    <s v="Graduate"/>
    <s v="Middle"/>
    <x v="45"/>
    <x v="3"/>
    <x v="0"/>
  </r>
  <r>
    <n v="83"/>
    <x v="79"/>
    <s v="Gupta"/>
    <n v="16"/>
    <x v="0"/>
    <x v="2"/>
    <x v="1"/>
    <x v="0"/>
    <n v="87"/>
    <n v="80"/>
    <n v="86"/>
    <n v="85"/>
    <n v="88"/>
    <n v="19"/>
    <s v="Yes"/>
    <s v="Postgraduate"/>
    <s v="High"/>
    <x v="44"/>
    <x v="0"/>
    <x v="0"/>
  </r>
  <r>
    <n v="84"/>
    <x v="80"/>
    <s v="Rao"/>
    <n v="15"/>
    <x v="1"/>
    <x v="1"/>
    <x v="1"/>
    <x v="13"/>
    <n v="70"/>
    <n v="55"/>
    <n v="60"/>
    <n v="63"/>
    <n v="66"/>
    <n v="9"/>
    <s v="No"/>
    <s v="Secondary"/>
    <s v="Middle"/>
    <x v="46"/>
    <x v="2"/>
    <x v="0"/>
  </r>
  <r>
    <n v="85"/>
    <x v="36"/>
    <s v="Mehta"/>
    <n v="16"/>
    <x v="0"/>
    <x v="2"/>
    <x v="2"/>
    <x v="37"/>
    <n v="53"/>
    <n v="36"/>
    <n v="32"/>
    <n v="43"/>
    <n v="41"/>
    <n v="4"/>
    <s v="No"/>
    <s v="Secondary"/>
    <s v="Low"/>
    <x v="47"/>
    <x v="5"/>
    <x v="1"/>
  </r>
  <r>
    <n v="86"/>
    <x v="81"/>
    <s v="Sharma"/>
    <n v="15"/>
    <x v="1"/>
    <x v="1"/>
    <x v="2"/>
    <x v="15"/>
    <n v="96"/>
    <n v="94"/>
    <n v="97"/>
    <n v="96"/>
    <n v="98"/>
    <n v="26"/>
    <s v="Yes"/>
    <s v="Postgraduate"/>
    <s v="High"/>
    <x v="48"/>
    <x v="1"/>
    <x v="0"/>
  </r>
  <r>
    <n v="87"/>
    <x v="12"/>
    <s v="Verma"/>
    <n v="16"/>
    <x v="0"/>
    <x v="2"/>
    <x v="3"/>
    <x v="6"/>
    <n v="78"/>
    <n v="69"/>
    <n v="74"/>
    <n v="77"/>
    <n v="76"/>
    <n v="14"/>
    <s v="Yes"/>
    <s v="Graduate"/>
    <s v="Middle"/>
    <x v="6"/>
    <x v="3"/>
    <x v="0"/>
  </r>
  <r>
    <n v="88"/>
    <x v="82"/>
    <s v="Jain"/>
    <n v="15"/>
    <x v="1"/>
    <x v="1"/>
    <x v="3"/>
    <x v="23"/>
    <n v="88"/>
    <n v="83"/>
    <n v="89"/>
    <n v="90"/>
    <n v="91"/>
    <n v="20"/>
    <s v="Yes"/>
    <s v="Graduate"/>
    <s v="High"/>
    <x v="37"/>
    <x v="0"/>
    <x v="0"/>
  </r>
  <r>
    <n v="89"/>
    <x v="83"/>
    <s v="Kapoor"/>
    <n v="16"/>
    <x v="0"/>
    <x v="1"/>
    <x v="0"/>
    <x v="7"/>
    <n v="65"/>
    <n v="48"/>
    <n v="45"/>
    <n v="55"/>
    <n v="57"/>
    <n v="7"/>
    <s v="No"/>
    <s v="Secondary"/>
    <s v="Low"/>
    <x v="7"/>
    <x v="4"/>
    <x v="1"/>
  </r>
  <r>
    <n v="90"/>
    <x v="23"/>
    <s v="Mehra"/>
    <n v="15"/>
    <x v="1"/>
    <x v="0"/>
    <x v="0"/>
    <x v="19"/>
    <n v="91"/>
    <n v="88"/>
    <n v="92"/>
    <n v="93"/>
    <n v="94"/>
    <n v="22"/>
    <s v="Yes"/>
    <s v="Postgraduate"/>
    <s v="High"/>
    <x v="1"/>
    <x v="1"/>
    <x v="0"/>
  </r>
  <r>
    <n v="91"/>
    <x v="84"/>
    <s v="Iyer"/>
    <n v="16"/>
    <x v="0"/>
    <x v="1"/>
    <x v="1"/>
    <x v="12"/>
    <n v="81"/>
    <n v="72"/>
    <n v="77"/>
    <n v="79"/>
    <n v="80"/>
    <n v="15"/>
    <s v="Yes"/>
    <s v="Graduate"/>
    <s v="Middle"/>
    <x v="12"/>
    <x v="3"/>
    <x v="0"/>
  </r>
  <r>
    <n v="92"/>
    <x v="85"/>
    <s v="Banerjee"/>
    <n v="15"/>
    <x v="1"/>
    <x v="1"/>
    <x v="1"/>
    <x v="21"/>
    <n v="73"/>
    <n v="57"/>
    <n v="61"/>
    <n v="65"/>
    <n v="68"/>
    <n v="10"/>
    <s v="No"/>
    <s v="Graduate"/>
    <s v="Middle"/>
    <x v="2"/>
    <x v="2"/>
    <x v="0"/>
  </r>
  <r>
    <n v="93"/>
    <x v="86"/>
    <s v="Khan"/>
    <n v="16"/>
    <x v="0"/>
    <x v="1"/>
    <x v="2"/>
    <x v="4"/>
    <n v="57"/>
    <n v="39"/>
    <n v="35"/>
    <n v="46"/>
    <n v="44"/>
    <n v="5"/>
    <s v="No"/>
    <s v="Secondary"/>
    <s v="Low"/>
    <x v="21"/>
    <x v="4"/>
    <x v="1"/>
  </r>
  <r>
    <n v="94"/>
    <x v="87"/>
    <s v="Malhotra"/>
    <n v="15"/>
    <x v="1"/>
    <x v="1"/>
    <x v="2"/>
    <x v="27"/>
    <n v="94"/>
    <n v="91"/>
    <n v="95"/>
    <n v="93"/>
    <n v="96"/>
    <n v="24"/>
    <s v="Yes"/>
    <s v="Postgraduate"/>
    <s v="High"/>
    <x v="15"/>
    <x v="1"/>
    <x v="0"/>
  </r>
  <r>
    <n v="95"/>
    <x v="88"/>
    <s v="Yadav"/>
    <n v="16"/>
    <x v="0"/>
    <x v="0"/>
    <x v="3"/>
    <x v="28"/>
    <n v="75"/>
    <n v="64"/>
    <n v="68"/>
    <n v="72"/>
    <n v="70"/>
    <n v="12"/>
    <s v="Yes"/>
    <s v="Graduate"/>
    <s v="Middle"/>
    <x v="26"/>
    <x v="3"/>
    <x v="0"/>
  </r>
  <r>
    <n v="96"/>
    <x v="89"/>
    <s v="Kapoor"/>
    <n v="15"/>
    <x v="1"/>
    <x v="1"/>
    <x v="3"/>
    <x v="16"/>
    <n v="85"/>
    <n v="78"/>
    <n v="83"/>
    <n v="86"/>
    <n v="84"/>
    <n v="17"/>
    <s v="Yes"/>
    <s v="Graduate"/>
    <s v="High"/>
    <x v="49"/>
    <x v="0"/>
    <x v="0"/>
  </r>
  <r>
    <n v="97"/>
    <x v="90"/>
    <s v="Rane"/>
    <n v="16"/>
    <x v="0"/>
    <x v="2"/>
    <x v="0"/>
    <x v="43"/>
    <n v="51"/>
    <n v="33"/>
    <n v="30"/>
    <n v="41"/>
    <n v="39"/>
    <n v="4"/>
    <s v="No"/>
    <s v="Secondary"/>
    <s v="Low"/>
    <x v="39"/>
    <x v="5"/>
    <x v="1"/>
  </r>
  <r>
    <n v="98"/>
    <x v="15"/>
    <s v="Patel"/>
    <n v="15"/>
    <x v="1"/>
    <x v="1"/>
    <x v="0"/>
    <x v="11"/>
    <n v="90"/>
    <n v="86"/>
    <n v="91"/>
    <n v="92"/>
    <n v="93"/>
    <n v="21"/>
    <s v="Yes"/>
    <s v="Postgraduate"/>
    <s v="High"/>
    <x v="32"/>
    <x v="1"/>
    <x v="0"/>
  </r>
  <r>
    <n v="99"/>
    <x v="91"/>
    <s v="Ali"/>
    <n v="16"/>
    <x v="0"/>
    <x v="2"/>
    <x v="1"/>
    <x v="25"/>
    <n v="67"/>
    <n v="52"/>
    <n v="56"/>
    <n v="60"/>
    <n v="62"/>
    <n v="8"/>
    <s v="No"/>
    <s v="Secondary"/>
    <s v="Middle"/>
    <x v="13"/>
    <x v="2"/>
    <x v="0"/>
  </r>
  <r>
    <n v="100"/>
    <x v="92"/>
    <s v="Roy"/>
    <n v="16"/>
    <x v="0"/>
    <x v="0"/>
    <x v="1"/>
    <x v="35"/>
    <n v="55"/>
    <n v="40"/>
    <n v="37"/>
    <n v="45"/>
    <n v="43"/>
    <n v="5"/>
    <s v="No"/>
    <s v="Secondary"/>
    <s v="Low"/>
    <x v="21"/>
    <x v="4"/>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8E0E92E-0B30-4EC8-B521-B31530797F6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P38:AQ42" firstHeaderRow="1" firstDataRow="1" firstDataCol="1"/>
  <pivotFields count="20">
    <pivotField showAll="0"/>
    <pivotField showAll="0">
      <items count="94">
        <item x="33"/>
        <item x="13"/>
        <item x="75"/>
        <item x="0"/>
        <item x="58"/>
        <item x="63"/>
        <item x="6"/>
        <item x="55"/>
        <item x="68"/>
        <item x="39"/>
        <item x="90"/>
        <item x="47"/>
        <item x="1"/>
        <item x="81"/>
        <item x="41"/>
        <item x="52"/>
        <item x="43"/>
        <item x="23"/>
        <item x="8"/>
        <item x="74"/>
        <item x="36"/>
        <item x="14"/>
        <item x="51"/>
        <item x="86"/>
        <item x="20"/>
        <item x="16"/>
        <item x="79"/>
        <item x="30"/>
        <item x="7"/>
        <item x="26"/>
        <item x="69"/>
        <item x="5"/>
        <item x="92"/>
        <item x="45"/>
        <item x="10"/>
        <item x="38"/>
        <item x="65"/>
        <item x="15"/>
        <item x="18"/>
        <item x="70"/>
        <item x="62"/>
        <item x="72"/>
        <item x="24"/>
        <item x="9"/>
        <item x="82"/>
        <item x="49"/>
        <item x="17"/>
        <item x="73"/>
        <item x="19"/>
        <item x="48"/>
        <item x="28"/>
        <item x="31"/>
        <item x="46"/>
        <item x="57"/>
        <item x="87"/>
        <item x="3"/>
        <item x="40"/>
        <item x="78"/>
        <item x="91"/>
        <item x="71"/>
        <item x="12"/>
        <item x="54"/>
        <item x="66"/>
        <item x="25"/>
        <item x="2"/>
        <item x="61"/>
        <item x="32"/>
        <item x="85"/>
        <item x="67"/>
        <item x="11"/>
        <item x="35"/>
        <item x="50"/>
        <item x="59"/>
        <item x="27"/>
        <item x="88"/>
        <item x="42"/>
        <item x="84"/>
        <item x="53"/>
        <item x="56"/>
        <item x="89"/>
        <item x="77"/>
        <item x="29"/>
        <item x="80"/>
        <item x="21"/>
        <item x="76"/>
        <item x="60"/>
        <item x="34"/>
        <item x="83"/>
        <item x="44"/>
        <item x="4"/>
        <item x="64"/>
        <item x="22"/>
        <item x="37"/>
        <item t="default"/>
      </items>
    </pivotField>
    <pivotField showAll="0"/>
    <pivotField showAll="0"/>
    <pivotField showAll="0">
      <items count="3">
        <item x="1"/>
        <item x="0"/>
        <item t="default"/>
      </items>
    </pivotField>
    <pivotField axis="axisRow" showAll="0">
      <items count="4">
        <item x="1"/>
        <item x="0"/>
        <item x="2"/>
        <item t="default"/>
      </items>
    </pivotField>
    <pivotField showAll="0">
      <items count="5">
        <item x="0"/>
        <item x="1"/>
        <item x="2"/>
        <item x="3"/>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3">
        <item x="1"/>
        <item x="0"/>
        <item t="default"/>
      </items>
    </pivotField>
  </pivotFields>
  <rowFields count="1">
    <field x="5"/>
  </rowFields>
  <rowItems count="4">
    <i>
      <x/>
    </i>
    <i>
      <x v="1"/>
    </i>
    <i>
      <x v="2"/>
    </i>
    <i t="grand">
      <x/>
    </i>
  </rowItems>
  <colItems count="1">
    <i/>
  </colItems>
  <dataFields count="1">
    <dataField name="Average of Final Score" fld="17" subtotal="average" baseField="5" baseItem="0"/>
  </dataField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A907C5-356D-4DD2-9ABA-98559674C83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R113:AS116" firstHeaderRow="1" firstDataRow="1" firstDataCol="1"/>
  <pivotFields count="20">
    <pivotField dataField="1" showAll="0"/>
    <pivotField showAll="0">
      <items count="94">
        <item x="33"/>
        <item x="13"/>
        <item x="75"/>
        <item x="0"/>
        <item x="58"/>
        <item x="63"/>
        <item x="6"/>
        <item x="55"/>
        <item x="68"/>
        <item x="39"/>
        <item x="90"/>
        <item x="47"/>
        <item x="1"/>
        <item x="81"/>
        <item x="41"/>
        <item x="52"/>
        <item x="43"/>
        <item x="23"/>
        <item x="8"/>
        <item x="74"/>
        <item x="36"/>
        <item x="14"/>
        <item x="51"/>
        <item x="86"/>
        <item x="20"/>
        <item x="16"/>
        <item x="79"/>
        <item x="30"/>
        <item x="7"/>
        <item x="26"/>
        <item x="69"/>
        <item x="5"/>
        <item x="92"/>
        <item x="45"/>
        <item x="10"/>
        <item x="38"/>
        <item x="65"/>
        <item x="15"/>
        <item x="18"/>
        <item x="70"/>
        <item x="62"/>
        <item x="72"/>
        <item x="24"/>
        <item x="9"/>
        <item x="82"/>
        <item x="49"/>
        <item x="17"/>
        <item x="73"/>
        <item x="19"/>
        <item x="48"/>
        <item x="28"/>
        <item x="31"/>
        <item x="46"/>
        <item x="57"/>
        <item x="87"/>
        <item x="3"/>
        <item x="40"/>
        <item x="78"/>
        <item x="91"/>
        <item x="71"/>
        <item x="12"/>
        <item x="54"/>
        <item x="66"/>
        <item x="25"/>
        <item x="2"/>
        <item x="61"/>
        <item x="32"/>
        <item x="85"/>
        <item x="67"/>
        <item x="11"/>
        <item x="35"/>
        <item x="50"/>
        <item x="59"/>
        <item x="27"/>
        <item x="88"/>
        <item x="42"/>
        <item x="84"/>
        <item x="53"/>
        <item x="56"/>
        <item x="89"/>
        <item x="77"/>
        <item x="29"/>
        <item x="80"/>
        <item x="21"/>
        <item x="76"/>
        <item x="60"/>
        <item x="34"/>
        <item x="83"/>
        <item x="44"/>
        <item x="4"/>
        <item x="64"/>
        <item x="22"/>
        <item x="37"/>
        <item t="default"/>
      </items>
    </pivotField>
    <pivotField showAll="0"/>
    <pivotField showAll="0"/>
    <pivotField showAll="0">
      <items count="3">
        <item x="1"/>
        <item x="0"/>
        <item t="default"/>
      </items>
    </pivotField>
    <pivotField showAll="0">
      <items count="4">
        <item x="1"/>
        <item x="0"/>
        <item x="2"/>
        <item t="default"/>
      </items>
    </pivotField>
    <pivotField showAll="0">
      <items count="5">
        <item x="0"/>
        <item x="1"/>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s>
  <rowFields count="1">
    <field x="19"/>
  </rowFields>
  <rowItems count="3">
    <i>
      <x/>
    </i>
    <i>
      <x v="1"/>
    </i>
    <i t="grand">
      <x/>
    </i>
  </rowItems>
  <colItems count="1">
    <i/>
  </colItems>
  <dataFields count="1">
    <dataField name="Count of StudentID" fld="0" subtotal="count" baseField="19"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66AC430-E3FC-4B67-A0ED-BEFABD5229B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P96:AQ99" firstHeaderRow="1" firstDataRow="1" firstDataCol="1"/>
  <pivotFields count="20">
    <pivotField dataField="1" showAll="0"/>
    <pivotField showAll="0">
      <items count="94">
        <item x="33"/>
        <item x="13"/>
        <item x="75"/>
        <item x="0"/>
        <item x="58"/>
        <item x="63"/>
        <item x="6"/>
        <item x="55"/>
        <item x="68"/>
        <item x="39"/>
        <item x="90"/>
        <item x="47"/>
        <item x="1"/>
        <item x="81"/>
        <item x="41"/>
        <item x="52"/>
        <item x="43"/>
        <item x="23"/>
        <item x="8"/>
        <item x="74"/>
        <item x="36"/>
        <item x="14"/>
        <item x="51"/>
        <item x="86"/>
        <item x="20"/>
        <item x="16"/>
        <item x="79"/>
        <item x="30"/>
        <item x="7"/>
        <item x="26"/>
        <item x="69"/>
        <item x="5"/>
        <item x="92"/>
        <item x="45"/>
        <item x="10"/>
        <item x="38"/>
        <item x="65"/>
        <item x="15"/>
        <item x="18"/>
        <item x="70"/>
        <item x="62"/>
        <item x="72"/>
        <item x="24"/>
        <item x="9"/>
        <item x="82"/>
        <item x="49"/>
        <item x="17"/>
        <item x="73"/>
        <item x="19"/>
        <item x="48"/>
        <item x="28"/>
        <item x="31"/>
        <item x="46"/>
        <item x="57"/>
        <item x="87"/>
        <item x="3"/>
        <item x="40"/>
        <item x="78"/>
        <item x="91"/>
        <item x="71"/>
        <item x="12"/>
        <item x="54"/>
        <item x="66"/>
        <item x="25"/>
        <item x="2"/>
        <item x="61"/>
        <item x="32"/>
        <item x="85"/>
        <item x="67"/>
        <item x="11"/>
        <item x="35"/>
        <item x="50"/>
        <item x="59"/>
        <item x="27"/>
        <item x="88"/>
        <item x="42"/>
        <item x="84"/>
        <item x="53"/>
        <item x="56"/>
        <item x="89"/>
        <item x="77"/>
        <item x="29"/>
        <item x="80"/>
        <item x="21"/>
        <item x="76"/>
        <item x="60"/>
        <item x="34"/>
        <item x="83"/>
        <item x="44"/>
        <item x="4"/>
        <item x="64"/>
        <item x="22"/>
        <item x="37"/>
        <item t="default"/>
      </items>
    </pivotField>
    <pivotField showAll="0"/>
    <pivotField showAll="0"/>
    <pivotField axis="axisRow" showAll="0">
      <items count="3">
        <item x="1"/>
        <item x="0"/>
        <item t="default"/>
      </items>
    </pivotField>
    <pivotField showAll="0">
      <items count="4">
        <item x="1"/>
        <item x="0"/>
        <item x="2"/>
        <item t="default"/>
      </items>
    </pivotField>
    <pivotField showAll="0">
      <items count="5">
        <item x="0"/>
        <item x="1"/>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s>
  <rowFields count="1">
    <field x="4"/>
  </rowFields>
  <rowItems count="3">
    <i>
      <x/>
    </i>
    <i>
      <x v="1"/>
    </i>
    <i t="grand">
      <x/>
    </i>
  </rowItems>
  <colItems count="1">
    <i/>
  </colItems>
  <dataFields count="1">
    <dataField name="Count of StudentID" fld="0" subtotal="count" baseField="4" baseItem="0"/>
  </dataFields>
  <chartFormats count="7">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4" count="1" selected="0">
            <x v="0"/>
          </reference>
        </references>
      </pivotArea>
    </chartFormat>
    <chartFormat chart="1" format="2">
      <pivotArea type="data" outline="0" fieldPosition="0">
        <references count="2">
          <reference field="4294967294" count="1" selected="0">
            <x v="0"/>
          </reference>
          <reference field="4" count="1" selected="0">
            <x v="1"/>
          </reference>
        </references>
      </pivotArea>
    </chartFormat>
    <chartFormat chart="5" format="3"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0"/>
          </reference>
        </references>
      </pivotArea>
    </chartFormat>
    <chartFormat chart="7" format="10">
      <pivotArea type="data" outline="0" fieldPosition="0">
        <references count="2">
          <reference field="4294967294" count="1" selected="0">
            <x v="0"/>
          </reference>
          <reference field="4" count="1" selected="0">
            <x v="0"/>
          </reference>
        </references>
      </pivotArea>
    </chartFormat>
    <chartFormat chart="7" format="1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732AB82-868A-43E2-A441-AC36565AE6F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P80:AQ87" firstHeaderRow="1" firstDataRow="1" firstDataCol="1"/>
  <pivotFields count="20">
    <pivotField showAll="0"/>
    <pivotField showAll="0">
      <items count="94">
        <item x="33"/>
        <item x="13"/>
        <item x="75"/>
        <item x="0"/>
        <item x="58"/>
        <item x="63"/>
        <item x="6"/>
        <item x="55"/>
        <item x="68"/>
        <item x="39"/>
        <item x="90"/>
        <item x="47"/>
        <item x="1"/>
        <item x="81"/>
        <item x="41"/>
        <item x="52"/>
        <item x="43"/>
        <item x="23"/>
        <item x="8"/>
        <item x="74"/>
        <item x="36"/>
        <item x="14"/>
        <item x="51"/>
        <item x="86"/>
        <item x="20"/>
        <item x="16"/>
        <item x="79"/>
        <item x="30"/>
        <item x="7"/>
        <item x="26"/>
        <item x="69"/>
        <item x="5"/>
        <item x="92"/>
        <item x="45"/>
        <item x="10"/>
        <item x="38"/>
        <item x="65"/>
        <item x="15"/>
        <item x="18"/>
        <item x="70"/>
        <item x="62"/>
        <item x="72"/>
        <item x="24"/>
        <item x="9"/>
        <item x="82"/>
        <item x="49"/>
        <item x="17"/>
        <item x="73"/>
        <item x="19"/>
        <item x="48"/>
        <item x="28"/>
        <item x="31"/>
        <item x="46"/>
        <item x="57"/>
        <item x="87"/>
        <item x="3"/>
        <item x="40"/>
        <item x="78"/>
        <item x="91"/>
        <item x="71"/>
        <item x="12"/>
        <item x="54"/>
        <item x="66"/>
        <item x="25"/>
        <item x="2"/>
        <item x="61"/>
        <item x="32"/>
        <item x="85"/>
        <item x="67"/>
        <item x="11"/>
        <item x="35"/>
        <item x="50"/>
        <item x="59"/>
        <item x="27"/>
        <item x="88"/>
        <item x="42"/>
        <item x="84"/>
        <item x="53"/>
        <item x="56"/>
        <item x="89"/>
        <item x="77"/>
        <item x="29"/>
        <item x="80"/>
        <item x="21"/>
        <item x="76"/>
        <item x="60"/>
        <item x="34"/>
        <item x="83"/>
        <item x="44"/>
        <item x="4"/>
        <item x="64"/>
        <item x="22"/>
        <item x="37"/>
        <item t="default"/>
      </items>
    </pivotField>
    <pivotField showAll="0"/>
    <pivotField showAll="0"/>
    <pivotField showAll="0">
      <items count="3">
        <item x="1"/>
        <item x="0"/>
        <item t="default"/>
      </items>
    </pivotField>
    <pivotField showAll="0">
      <items count="4">
        <item x="1"/>
        <item x="0"/>
        <item x="2"/>
        <item t="default"/>
      </items>
    </pivotField>
    <pivotField showAll="0">
      <items count="5">
        <item x="0"/>
        <item x="1"/>
        <item x="2"/>
        <item x="3"/>
        <item t="default"/>
      </items>
    </pivotField>
    <pivotField showAll="0"/>
    <pivotField showAll="0"/>
    <pivotField showAll="0"/>
    <pivotField showAll="0"/>
    <pivotField showAll="0"/>
    <pivotField showAll="0"/>
    <pivotField showAll="0"/>
    <pivotField showAll="0"/>
    <pivotField showAll="0"/>
    <pivotField showAll="0"/>
    <pivotField showAll="0"/>
    <pivotField axis="axisRow" dataField="1" showAll="0">
      <items count="7">
        <item x="0"/>
        <item x="1"/>
        <item x="3"/>
        <item x="2"/>
        <item x="4"/>
        <item x="5"/>
        <item t="default"/>
      </items>
    </pivotField>
    <pivotField showAll="0">
      <items count="3">
        <item x="1"/>
        <item x="0"/>
        <item t="default"/>
      </items>
    </pivotField>
  </pivotFields>
  <rowFields count="1">
    <field x="18"/>
  </rowFields>
  <rowItems count="7">
    <i>
      <x/>
    </i>
    <i>
      <x v="1"/>
    </i>
    <i>
      <x v="2"/>
    </i>
    <i>
      <x v="3"/>
    </i>
    <i>
      <x v="4"/>
    </i>
    <i>
      <x v="5"/>
    </i>
    <i t="grand">
      <x/>
    </i>
  </rowItems>
  <colItems count="1">
    <i/>
  </colItems>
  <dataFields count="1">
    <dataField name="Count of Grade" fld="18" subtotal="count" baseField="18" baseItem="0"/>
  </dataFields>
  <chartFormats count="2">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E19F84F-EB35-43D0-B234-053D4412758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P66:AQ69" firstHeaderRow="1" firstDataRow="1" firstDataCol="1"/>
  <pivotFields count="20">
    <pivotField showAll="0"/>
    <pivotField showAll="0">
      <items count="94">
        <item x="33"/>
        <item x="13"/>
        <item x="75"/>
        <item x="0"/>
        <item x="58"/>
        <item x="63"/>
        <item x="6"/>
        <item x="55"/>
        <item x="68"/>
        <item x="39"/>
        <item x="90"/>
        <item x="47"/>
        <item x="1"/>
        <item x="81"/>
        <item x="41"/>
        <item x="52"/>
        <item x="43"/>
        <item x="23"/>
        <item x="8"/>
        <item x="74"/>
        <item x="36"/>
        <item x="14"/>
        <item x="51"/>
        <item x="86"/>
        <item x="20"/>
        <item x="16"/>
        <item x="79"/>
        <item x="30"/>
        <item x="7"/>
        <item x="26"/>
        <item x="69"/>
        <item x="5"/>
        <item x="92"/>
        <item x="45"/>
        <item x="10"/>
        <item x="38"/>
        <item x="65"/>
        <item x="15"/>
        <item x="18"/>
        <item x="70"/>
        <item x="62"/>
        <item x="72"/>
        <item x="24"/>
        <item x="9"/>
        <item x="82"/>
        <item x="49"/>
        <item x="17"/>
        <item x="73"/>
        <item x="19"/>
        <item x="48"/>
        <item x="28"/>
        <item x="31"/>
        <item x="46"/>
        <item x="57"/>
        <item x="87"/>
        <item x="3"/>
        <item x="40"/>
        <item x="78"/>
        <item x="91"/>
        <item x="71"/>
        <item x="12"/>
        <item x="54"/>
        <item x="66"/>
        <item x="25"/>
        <item x="2"/>
        <item x="61"/>
        <item x="32"/>
        <item x="85"/>
        <item x="67"/>
        <item x="11"/>
        <item x="35"/>
        <item x="50"/>
        <item x="59"/>
        <item x="27"/>
        <item x="88"/>
        <item x="42"/>
        <item x="84"/>
        <item x="53"/>
        <item x="56"/>
        <item x="89"/>
        <item x="77"/>
        <item x="29"/>
        <item x="80"/>
        <item x="21"/>
        <item x="76"/>
        <item x="60"/>
        <item x="34"/>
        <item x="83"/>
        <item x="44"/>
        <item x="4"/>
        <item x="64"/>
        <item x="22"/>
        <item x="37"/>
        <item t="default"/>
      </items>
    </pivotField>
    <pivotField showAll="0"/>
    <pivotField showAll="0"/>
    <pivotField axis="axisRow" showAll="0">
      <items count="3">
        <item x="1"/>
        <item x="0"/>
        <item t="default"/>
      </items>
    </pivotField>
    <pivotField showAll="0">
      <items count="4">
        <item x="1"/>
        <item x="0"/>
        <item x="2"/>
        <item t="default"/>
      </items>
    </pivotField>
    <pivotField showAll="0">
      <items count="5">
        <item x="0"/>
        <item x="1"/>
        <item x="2"/>
        <item x="3"/>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s>
  <rowFields count="1">
    <field x="4"/>
  </rowFields>
  <rowItems count="3">
    <i>
      <x/>
    </i>
    <i>
      <x v="1"/>
    </i>
    <i t="grand">
      <x/>
    </i>
  </rowItems>
  <colItems count="1">
    <i/>
  </colItems>
  <dataFields count="1">
    <dataField name="Average of Attendance %" fld="7" subtotal="average" baseField="4" baseItem="0"/>
  </dataFields>
  <chartFormats count="2">
    <chartFormat chart="5" format="0"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6D49DC0-170E-485B-8F9F-1E018A25D21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P52:AS58" firstHeaderRow="1" firstDataRow="2" firstDataCol="1"/>
  <pivotFields count="20">
    <pivotField dataField="1" showAll="0"/>
    <pivotField showAll="0">
      <items count="94">
        <item x="33"/>
        <item x="13"/>
        <item x="75"/>
        <item x="0"/>
        <item x="58"/>
        <item x="63"/>
        <item x="6"/>
        <item x="55"/>
        <item x="68"/>
        <item x="39"/>
        <item x="90"/>
        <item x="47"/>
        <item x="1"/>
        <item x="81"/>
        <item x="41"/>
        <item x="52"/>
        <item x="43"/>
        <item x="23"/>
        <item x="8"/>
        <item x="74"/>
        <item x="36"/>
        <item x="14"/>
        <item x="51"/>
        <item x="86"/>
        <item x="20"/>
        <item x="16"/>
        <item x="79"/>
        <item x="30"/>
        <item x="7"/>
        <item x="26"/>
        <item x="69"/>
        <item x="5"/>
        <item x="92"/>
        <item x="45"/>
        <item x="10"/>
        <item x="38"/>
        <item x="65"/>
        <item x="15"/>
        <item x="18"/>
        <item x="70"/>
        <item x="62"/>
        <item x="72"/>
        <item x="24"/>
        <item x="9"/>
        <item x="82"/>
        <item x="49"/>
        <item x="17"/>
        <item x="73"/>
        <item x="19"/>
        <item x="48"/>
        <item x="28"/>
        <item x="31"/>
        <item x="46"/>
        <item x="57"/>
        <item x="87"/>
        <item x="3"/>
        <item x="40"/>
        <item x="78"/>
        <item x="91"/>
        <item x="71"/>
        <item x="12"/>
        <item x="54"/>
        <item x="66"/>
        <item x="25"/>
        <item x="2"/>
        <item x="61"/>
        <item x="32"/>
        <item x="85"/>
        <item x="67"/>
        <item x="11"/>
        <item x="35"/>
        <item x="50"/>
        <item x="59"/>
        <item x="27"/>
        <item x="88"/>
        <item x="42"/>
        <item x="84"/>
        <item x="53"/>
        <item x="56"/>
        <item x="89"/>
        <item x="77"/>
        <item x="29"/>
        <item x="80"/>
        <item x="21"/>
        <item x="76"/>
        <item x="60"/>
        <item x="34"/>
        <item x="83"/>
        <item x="44"/>
        <item x="4"/>
        <item x="64"/>
        <item x="22"/>
        <item x="37"/>
        <item t="default"/>
      </items>
    </pivotField>
    <pivotField showAll="0"/>
    <pivotField showAll="0"/>
    <pivotField showAll="0">
      <items count="3">
        <item x="1"/>
        <item x="0"/>
        <item t="default"/>
      </items>
    </pivotField>
    <pivotField showAll="0">
      <items count="4">
        <item x="1"/>
        <item x="0"/>
        <item x="2"/>
        <item t="default"/>
      </items>
    </pivotField>
    <pivotField axis="axisRow" showAll="0">
      <items count="5">
        <item x="0"/>
        <item x="1"/>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x="1"/>
        <item x="0"/>
        <item t="default"/>
      </items>
    </pivotField>
  </pivotFields>
  <rowFields count="1">
    <field x="6"/>
  </rowFields>
  <rowItems count="5">
    <i>
      <x/>
    </i>
    <i>
      <x v="1"/>
    </i>
    <i>
      <x v="2"/>
    </i>
    <i>
      <x v="3"/>
    </i>
    <i t="grand">
      <x/>
    </i>
  </rowItems>
  <colFields count="1">
    <field x="19"/>
  </colFields>
  <colItems count="3">
    <i>
      <x/>
    </i>
    <i>
      <x v="1"/>
    </i>
    <i t="grand">
      <x/>
    </i>
  </colItems>
  <dataFields count="1">
    <dataField name="Count of StudentID" fld="0" subtotal="count" baseField="6" baseItem="0"/>
  </dataFields>
  <chartFormats count="10">
    <chartFormat chart="3" format="0" series="1">
      <pivotArea type="data" outline="0" fieldPosition="0">
        <references count="2">
          <reference field="4294967294" count="1" selected="0">
            <x v="0"/>
          </reference>
          <reference field="19" count="1" selected="0">
            <x v="0"/>
          </reference>
        </references>
      </pivotArea>
    </chartFormat>
    <chartFormat chart="3" format="1" series="1">
      <pivotArea type="data" outline="0" fieldPosition="0">
        <references count="2">
          <reference field="4294967294" count="1" selected="0">
            <x v="0"/>
          </reference>
          <reference field="19" count="1" selected="0">
            <x v="1"/>
          </reference>
        </references>
      </pivotArea>
    </chartFormat>
    <chartFormat chart="8" format="2" series="1">
      <pivotArea type="data" outline="0" fieldPosition="0">
        <references count="2">
          <reference field="4294967294" count="1" selected="0">
            <x v="0"/>
          </reference>
          <reference field="19" count="1" selected="0">
            <x v="0"/>
          </reference>
        </references>
      </pivotArea>
    </chartFormat>
    <chartFormat chart="8" format="3" series="1">
      <pivotArea type="data" outline="0" fieldPosition="0">
        <references count="2">
          <reference field="4294967294" count="1" selected="0">
            <x v="0"/>
          </reference>
          <reference field="19" count="1" selected="0">
            <x v="1"/>
          </reference>
        </references>
      </pivotArea>
    </chartFormat>
    <chartFormat chart="9" format="4" series="1">
      <pivotArea type="data" outline="0" fieldPosition="0">
        <references count="2">
          <reference field="4294967294" count="1" selected="0">
            <x v="0"/>
          </reference>
          <reference field="19" count="1" selected="0">
            <x v="0"/>
          </reference>
        </references>
      </pivotArea>
    </chartFormat>
    <chartFormat chart="9" format="5" series="1">
      <pivotArea type="data" outline="0" fieldPosition="0">
        <references count="2">
          <reference field="4294967294" count="1" selected="0">
            <x v="0"/>
          </reference>
          <reference field="19" count="1" selected="0">
            <x v="1"/>
          </reference>
        </references>
      </pivotArea>
    </chartFormat>
    <chartFormat chart="7" format="6" series="1">
      <pivotArea type="data" outline="0" fieldPosition="0">
        <references count="2">
          <reference field="4294967294" count="1" selected="0">
            <x v="0"/>
          </reference>
          <reference field="19" count="1" selected="0">
            <x v="0"/>
          </reference>
        </references>
      </pivotArea>
    </chartFormat>
    <chartFormat chart="7" format="7" series="1">
      <pivotArea type="data" outline="0" fieldPosition="0">
        <references count="2">
          <reference field="4294967294" count="1" selected="0">
            <x v="0"/>
          </reference>
          <reference field="19" count="1" selected="0">
            <x v="1"/>
          </reference>
        </references>
      </pivotArea>
    </chartFormat>
    <chartFormat chart="7" format="8"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rist_Name" xr10:uid="{280DAA40-27CE-4DBC-B112-30A36ACBCAFB}" sourceName="Frist_Name ">
  <pivotTables>
    <pivotTable tabId="1" name="PivotTable1"/>
    <pivotTable tabId="1" name="PivotTable2"/>
    <pivotTable tabId="1" name="PivotTable3"/>
    <pivotTable tabId="1" name="PivotTable4"/>
    <pivotTable tabId="1" name="PivotTable5"/>
    <pivotTable tabId="1" name="PivotTable6"/>
  </pivotTables>
  <data>
    <tabular pivotCacheId="1714588607">
      <items count="93">
        <i x="33" s="1"/>
        <i x="13" s="1"/>
        <i x="75" s="1"/>
        <i x="0" s="1"/>
        <i x="58" s="1"/>
        <i x="63" s="1"/>
        <i x="6" s="1"/>
        <i x="55" s="1"/>
        <i x="68" s="1"/>
        <i x="39" s="1"/>
        <i x="90" s="1"/>
        <i x="47" s="1"/>
        <i x="1" s="1"/>
        <i x="81" s="1"/>
        <i x="41" s="1"/>
        <i x="52" s="1"/>
        <i x="43" s="1"/>
        <i x="23" s="1"/>
        <i x="8" s="1"/>
        <i x="74" s="1"/>
        <i x="36" s="1"/>
        <i x="14" s="1"/>
        <i x="51" s="1"/>
        <i x="86" s="1"/>
        <i x="20" s="1"/>
        <i x="16" s="1"/>
        <i x="79" s="1"/>
        <i x="30" s="1"/>
        <i x="7" s="1"/>
        <i x="26" s="1"/>
        <i x="69" s="1"/>
        <i x="5" s="1"/>
        <i x="92" s="1"/>
        <i x="45" s="1"/>
        <i x="10" s="1"/>
        <i x="38" s="1"/>
        <i x="65" s="1"/>
        <i x="15" s="1"/>
        <i x="18" s="1"/>
        <i x="70" s="1"/>
        <i x="62" s="1"/>
        <i x="72" s="1"/>
        <i x="24" s="1"/>
        <i x="9" s="1"/>
        <i x="82" s="1"/>
        <i x="49" s="1"/>
        <i x="17" s="1"/>
        <i x="73" s="1"/>
        <i x="19" s="1"/>
        <i x="48" s="1"/>
        <i x="28" s="1"/>
        <i x="31" s="1"/>
        <i x="46" s="1"/>
        <i x="57" s="1"/>
        <i x="87" s="1"/>
        <i x="3" s="1"/>
        <i x="40" s="1"/>
        <i x="78" s="1"/>
        <i x="91" s="1"/>
        <i x="71" s="1"/>
        <i x="12" s="1"/>
        <i x="54" s="1"/>
        <i x="66" s="1"/>
        <i x="25" s="1"/>
        <i x="2" s="1"/>
        <i x="61" s="1"/>
        <i x="32" s="1"/>
        <i x="85" s="1"/>
        <i x="67" s="1"/>
        <i x="11" s="1"/>
        <i x="35" s="1"/>
        <i x="50" s="1"/>
        <i x="59" s="1"/>
        <i x="27" s="1"/>
        <i x="88" s="1"/>
        <i x="42" s="1"/>
        <i x="84" s="1"/>
        <i x="53" s="1"/>
        <i x="56" s="1"/>
        <i x="89" s="1"/>
        <i x="77" s="1"/>
        <i x="29" s="1"/>
        <i x="80" s="1"/>
        <i x="21" s="1"/>
        <i x="76" s="1"/>
        <i x="60" s="1"/>
        <i x="34" s="1"/>
        <i x="83" s="1"/>
        <i x="44" s="1"/>
        <i x="4" s="1"/>
        <i x="64" s="1"/>
        <i x="22" s="1"/>
        <i x="3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C755EF8-C989-4F76-93B0-518D6F2F0F8C}" sourceName="Gender">
  <pivotTables>
    <pivotTable tabId="1" name="PivotTable1"/>
    <pivotTable tabId="1" name="PivotTable2"/>
    <pivotTable tabId="1" name="PivotTable3"/>
    <pivotTable tabId="1" name="PivotTable4"/>
    <pivotTable tabId="1" name="PivotTable5"/>
    <pivotTable tabId="1" name="PivotTable6"/>
  </pivotTables>
  <data>
    <tabular pivotCacheId="1714588607">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ass" xr10:uid="{8216EC5C-8662-4971-AB4A-B9F8636DDE31}" sourceName="Class">
  <pivotTables>
    <pivotTable tabId="1" name="PivotTable1"/>
    <pivotTable tabId="1" name="PivotTable2"/>
    <pivotTable tabId="1" name="PivotTable3"/>
    <pivotTable tabId="1" name="PivotTable4"/>
    <pivotTable tabId="1" name="PivotTable5"/>
    <pivotTable tabId="1" name="PivotTable6"/>
  </pivotTables>
  <data>
    <tabular pivotCacheId="1714588607">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ion" xr10:uid="{FCF6C5A0-DE61-4972-84F1-DE781D9AE7B5}" sourceName="Section">
  <pivotTables>
    <pivotTable tabId="1" name="PivotTable1"/>
    <pivotTable tabId="1" name="PivotTable2"/>
    <pivotTable tabId="1" name="PivotTable3"/>
    <pivotTable tabId="1" name="PivotTable4"/>
    <pivotTable tabId="1" name="PivotTable5"/>
    <pivotTable tabId="1" name="PivotTable6"/>
  </pivotTables>
  <data>
    <tabular pivotCacheId="1714588607">
      <items count="4">
        <i x="0" s="1"/>
        <i x="1" s="1"/>
        <i x="2"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ult" xr10:uid="{7AF032BD-2DCD-4698-810B-B0F787DCA085}" sourceName="Result">
  <pivotTables>
    <pivotTable tabId="1" name="PivotTable1"/>
    <pivotTable tabId="1" name="PivotTable2"/>
    <pivotTable tabId="1" name="PivotTable3"/>
    <pivotTable tabId="1" name="PivotTable4"/>
    <pivotTable tabId="1" name="PivotTable5"/>
    <pivotTable tabId="1" name="PivotTable6"/>
  </pivotTables>
  <data>
    <tabular pivotCacheId="171458860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rist_Name " xr10:uid="{48238857-2132-4F94-8049-0B204A53DBEF}" cache="Slicer_Frist_Name" caption="Frist_Name " startItem="50" rowHeight="247650"/>
  <slicer name="Gender" xr10:uid="{2EFF08E1-1412-4862-99E8-ACAE954AAE57}" cache="Slicer_Gender" caption="Gender" rowHeight="247650"/>
  <slicer name="Class" xr10:uid="{6001B053-2D38-45A3-8652-1038A1B4C96C}" cache="Slicer_Class" caption="Class" rowHeight="247650"/>
  <slicer name="Section" xr10:uid="{2491EF95-8EBC-4847-B3C5-AC70787F308E}" cache="Slicer_Section" caption="Section" rowHeight="247650"/>
  <slicer name="Result" xr10:uid="{CFA4F4F2-BA85-4FF6-940D-41FEFD2225AC}" cache="Slicer_Result" caption="Result"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8EA21F6-AB40-4601-A024-89F06E59D725}" name="Table1" displayName="Table1" ref="A1:U101" totalsRowShown="0" dataDxfId="21">
  <tableColumns count="21">
    <tableColumn id="1" xr3:uid="{C21B7308-3050-4882-BE0E-774C7D295DDF}" name="StudentID" dataDxfId="20"/>
    <tableColumn id="2" xr3:uid="{A2F8E219-C3A3-473E-89BB-5093AB503A16}" name="Frist_Name " dataDxfId="19"/>
    <tableColumn id="20" xr3:uid="{B4228E61-5FC4-4142-ADD5-EB16989C74B4}" name="Last_Name" dataDxfId="18"/>
    <tableColumn id="21" xr3:uid="{2C598E5D-D077-41ED-923C-8B04AC0ED492}" name="Full Name " dataDxfId="17">
      <calculatedColumnFormula>_xlfn.CONCAT(Table1[[#This Row],[Frist_Name ]]," ",Table1[[#This Row],[Last_Name]])</calculatedColumnFormula>
    </tableColumn>
    <tableColumn id="3" xr3:uid="{7FE58DF5-76CD-432C-9824-1036F614B07F}" name="Age" dataDxfId="16"/>
    <tableColumn id="4" xr3:uid="{E3828E29-0739-437B-A093-C12BC294C476}" name="Gender" dataDxfId="15"/>
    <tableColumn id="5" xr3:uid="{04BE55FB-0B06-442D-95F8-1FB7D694075F}" name="Class" dataDxfId="14"/>
    <tableColumn id="6" xr3:uid="{984503AC-7618-4E70-9360-0ADCD518EDA0}" name="Section" dataDxfId="13"/>
    <tableColumn id="7" xr3:uid="{B8EE228B-7745-4F46-882F-E5CE57E7724A}" name="Attendance %" dataDxfId="12"/>
    <tableColumn id="8" xr3:uid="{F668B0FA-FDE1-442F-97F5-A7B09E7565AF}" name="Assignments Avg" dataDxfId="11"/>
    <tableColumn id="9" xr3:uid="{3E1D5964-62E3-4B82-BB56-3EE6ACBE2D59}" name="Midterm Score" dataDxfId="10"/>
    <tableColumn id="10" xr3:uid="{C7C00A56-F4B3-4B84-AD0C-D64D71E02E56}" name="Final Exam Score" dataDxfId="9"/>
    <tableColumn id="11" xr3:uid="{5B24A83B-167D-4ADF-9EF6-F2D000C17B4A}" name="Project Score" dataDxfId="8"/>
    <tableColumn id="12" xr3:uid="{BDF9A029-2789-4D2E-A820-FC68A099B857}" name="Participation" dataDxfId="7"/>
    <tableColumn id="13" xr3:uid="{2A036925-372B-4674-ADA9-AA54847ED39B}" name="Study Hours" dataDxfId="6"/>
    <tableColumn id="14" xr3:uid="{2D448659-8DF0-4234-A3CB-AF9FF642753C}" name="Extracurricular" dataDxfId="5"/>
    <tableColumn id="15" xr3:uid="{8C5C389F-3A34-4D7D-A082-9929B625F36C}" name="Parent Education" dataDxfId="4"/>
    <tableColumn id="16" xr3:uid="{0DDE2538-D957-4408-86CA-CAB5CF249E88}" name="Socio-Economic" dataDxfId="3"/>
    <tableColumn id="17" xr3:uid="{FF3EE80C-66EA-423A-B80A-7524A8C9F66F}" name="Final Score" dataDxfId="2"/>
    <tableColumn id="18" xr3:uid="{ABF30530-59C8-4202-BC7C-A275309A11F2}" name="Grade" dataDxfId="1"/>
    <tableColumn id="19" xr3:uid="{BE83B055-0A17-4F65-BE98-5AE79C1D6C32}" name="Resul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comments" Target="../comments1.xml"/><Relationship Id="rId5" Type="http://schemas.openxmlformats.org/officeDocument/2006/relationships/pivotTable" Target="../pivotTables/pivotTable5.xml"/><Relationship Id="rId10" Type="http://schemas.openxmlformats.org/officeDocument/2006/relationships/table" Target="../tables/table1.xml"/><Relationship Id="rId4" Type="http://schemas.openxmlformats.org/officeDocument/2006/relationships/pivotTable" Target="../pivotTables/pivotTable4.xml"/><Relationship Id="rId9"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431E83-9B60-42ED-82E1-2F73FAC8645E}">
  <dimension ref="A1:AV243"/>
  <sheetViews>
    <sheetView tabSelected="1" topLeftCell="O1" zoomScale="98" workbookViewId="0">
      <selection activeCell="R1" sqref="R1:R1048576"/>
    </sheetView>
  </sheetViews>
  <sheetFormatPr defaultRowHeight="14.4" x14ac:dyDescent="0.3"/>
  <cols>
    <col min="1" max="1" width="11.21875" customWidth="1"/>
    <col min="2" max="2" width="14.88671875" bestFit="1" customWidth="1"/>
    <col min="3" max="3" width="14.88671875" customWidth="1"/>
    <col min="4" max="4" width="14.88671875" style="4" customWidth="1"/>
    <col min="5" max="5" width="5.88671875" customWidth="1"/>
    <col min="6" max="6" width="9" customWidth="1"/>
    <col min="7" max="7" width="7.44140625" customWidth="1"/>
    <col min="8" max="8" width="9.21875" customWidth="1"/>
    <col min="9" max="9" width="14.33203125" customWidth="1"/>
    <col min="10" max="10" width="16.6640625" customWidth="1"/>
    <col min="11" max="11" width="15.109375" customWidth="1"/>
    <col min="12" max="12" width="17" customWidth="1"/>
    <col min="13" max="13" width="14" customWidth="1"/>
    <col min="14" max="14" width="13.77734375" customWidth="1"/>
    <col min="15" max="15" width="12.88671875" customWidth="1"/>
    <col min="16" max="16" width="15.21875" customWidth="1"/>
    <col min="17" max="17" width="17" customWidth="1"/>
    <col min="18" max="18" width="16.44140625" customWidth="1"/>
    <col min="19" max="19" width="12.109375" customWidth="1"/>
    <col min="20" max="20" width="8" customWidth="1"/>
    <col min="21" max="21" width="8.109375" customWidth="1"/>
    <col min="23" max="23" width="12.109375" bestFit="1" customWidth="1"/>
    <col min="24" max="24" width="27.88671875" bestFit="1" customWidth="1"/>
    <col min="25" max="25" width="18.5546875" customWidth="1"/>
    <col min="26" max="27" width="27.88671875" customWidth="1"/>
    <col min="28" max="28" width="30.6640625" bestFit="1" customWidth="1"/>
    <col min="29" max="35" width="30.6640625" customWidth="1"/>
    <col min="36" max="37" width="30.6640625" style="1" customWidth="1"/>
    <col min="38" max="41" width="30.6640625" customWidth="1"/>
    <col min="42" max="42" width="12.6640625" bestFit="1" customWidth="1"/>
    <col min="43" max="43" width="16.88671875" bestFit="1" customWidth="1"/>
    <col min="44" max="44" width="12.6640625" bestFit="1" customWidth="1"/>
    <col min="45" max="45" width="16.88671875" bestFit="1" customWidth="1"/>
    <col min="46" max="46" width="4.88671875" bestFit="1" customWidth="1"/>
    <col min="47" max="47" width="10.5546875" bestFit="1" customWidth="1"/>
    <col min="48" max="88" width="3" bestFit="1" customWidth="1"/>
    <col min="89" max="89" width="10.5546875" bestFit="1" customWidth="1"/>
    <col min="90" max="94" width="3" bestFit="1" customWidth="1"/>
    <col min="95" max="95" width="10.5546875" bestFit="1" customWidth="1"/>
  </cols>
  <sheetData>
    <row r="1" spans="1:46" x14ac:dyDescent="0.3">
      <c r="A1" t="s">
        <v>0</v>
      </c>
      <c r="B1" t="s">
        <v>184</v>
      </c>
      <c r="C1" t="s">
        <v>183</v>
      </c>
      <c r="D1" s="4" t="s">
        <v>256</v>
      </c>
      <c r="E1" t="s">
        <v>2</v>
      </c>
      <c r="F1" t="s">
        <v>3</v>
      </c>
      <c r="G1" t="s">
        <v>4</v>
      </c>
      <c r="H1" t="s">
        <v>5</v>
      </c>
      <c r="I1" t="s">
        <v>6</v>
      </c>
      <c r="J1" t="s">
        <v>7</v>
      </c>
      <c r="K1" t="s">
        <v>8</v>
      </c>
      <c r="L1" t="s">
        <v>9</v>
      </c>
      <c r="M1" t="s">
        <v>10</v>
      </c>
      <c r="N1" t="s">
        <v>11</v>
      </c>
      <c r="O1" t="s">
        <v>12</v>
      </c>
      <c r="P1" t="s">
        <v>13</v>
      </c>
      <c r="Q1" t="s">
        <v>14</v>
      </c>
      <c r="R1" t="s">
        <v>15</v>
      </c>
      <c r="S1" t="s">
        <v>16</v>
      </c>
      <c r="T1" t="s">
        <v>17</v>
      </c>
      <c r="U1" t="s">
        <v>18</v>
      </c>
      <c r="W1" t="s">
        <v>185</v>
      </c>
      <c r="X1" t="s">
        <v>195</v>
      </c>
      <c r="Y1" t="s">
        <v>229</v>
      </c>
      <c r="Z1" t="s">
        <v>196</v>
      </c>
      <c r="AA1" t="s">
        <v>201</v>
      </c>
      <c r="AB1" t="s">
        <v>230</v>
      </c>
      <c r="AC1" t="s">
        <v>231</v>
      </c>
      <c r="AD1" t="s">
        <v>232</v>
      </c>
      <c r="AE1" t="s">
        <v>233</v>
      </c>
      <c r="AF1" t="s">
        <v>234</v>
      </c>
      <c r="AG1" t="s">
        <v>235</v>
      </c>
      <c r="AH1" t="s">
        <v>236</v>
      </c>
      <c r="AI1" t="s">
        <v>237</v>
      </c>
      <c r="AJ1" s="1" t="s">
        <v>255</v>
      </c>
      <c r="AK1" t="s">
        <v>257</v>
      </c>
      <c r="AL1" t="s">
        <v>258</v>
      </c>
      <c r="AM1" t="s">
        <v>259</v>
      </c>
      <c r="AP1" s="5" t="s">
        <v>186</v>
      </c>
      <c r="AQ1" s="5"/>
      <c r="AR1" s="5"/>
      <c r="AS1" s="5"/>
      <c r="AT1" s="5"/>
    </row>
    <row r="2" spans="1:46" x14ac:dyDescent="0.3">
      <c r="A2" s="1">
        <v>1</v>
      </c>
      <c r="B2" s="1" t="s">
        <v>37</v>
      </c>
      <c r="C2" s="1" t="s">
        <v>38</v>
      </c>
      <c r="D2" t="str">
        <f>_xlfn.CONCAT(Table1[[#This Row],[Frist_Name ]]," ",Table1[[#This Row],[Last_Name]])</f>
        <v>Aarav Sharma</v>
      </c>
      <c r="E2" s="1">
        <v>16</v>
      </c>
      <c r="F2" s="1" t="s">
        <v>19</v>
      </c>
      <c r="G2" s="1">
        <v>11</v>
      </c>
      <c r="H2" s="1" t="s">
        <v>20</v>
      </c>
      <c r="I2" s="1">
        <v>92</v>
      </c>
      <c r="J2" s="1">
        <v>88</v>
      </c>
      <c r="K2" s="1">
        <v>76</v>
      </c>
      <c r="L2" s="1">
        <v>84</v>
      </c>
      <c r="M2" s="1">
        <v>90</v>
      </c>
      <c r="N2" s="1">
        <v>85</v>
      </c>
      <c r="O2" s="1">
        <v>18</v>
      </c>
      <c r="P2" s="1" t="s">
        <v>21</v>
      </c>
      <c r="Q2" s="1" t="s">
        <v>22</v>
      </c>
      <c r="R2" s="1" t="s">
        <v>23</v>
      </c>
      <c r="S2" s="1">
        <v>84</v>
      </c>
      <c r="T2" s="1" t="s">
        <v>20</v>
      </c>
      <c r="U2" s="1" t="s">
        <v>24</v>
      </c>
      <c r="W2">
        <f>(Table1[[#This Row],[Assignments Avg]]*0.1)+(Table1[[#This Row],[Midterm Score]]*0.3)+(Table1[[#This Row],[Final Exam Score]]*0.45)+(Table1[[#This Row],[Project Score]]*0.1)</f>
        <v>78.400000000000006</v>
      </c>
      <c r="X2" s="1" t="str">
        <f>IF(OR(Table1[[#This Row],[Attendance %]]&lt;57,Table1[[#This Row],[Final Score]]&lt;45),"At-Risk","Ok")</f>
        <v>Ok</v>
      </c>
      <c r="Y2" s="1" t="str">
        <f>IF(Table1[[#This Row],[Study Hours]]&lt;5,"Low Study","Normal")</f>
        <v>Normal</v>
      </c>
      <c r="Z2" s="1">
        <f>Table1[[#This Row],[Final Exam Score]]-Table1[[#This Row],[Midterm Score]]</f>
        <v>8</v>
      </c>
      <c r="AA2" s="1" t="str">
        <f>IF(Table1[[#This Row],[Final Score]]&gt;=80,"A",IF(Table1[[#This Row],[Final Score]]&gt;=70,"B",IF(Table1[[#This Row],[Final Score]]&gt;=60,"C",IF(Table1[[#This Row],[Final Score]]&gt;=50,"D","F"))))</f>
        <v>A</v>
      </c>
      <c r="AB2" s="1">
        <f>Table1[[#This Row],[Final Score]]+5</f>
        <v>89</v>
      </c>
      <c r="AC2" s="1" t="str">
        <f>IF(Table1[[#This Row],[Final Score]]&gt;=40,"Pass","Fail")</f>
        <v>Pass</v>
      </c>
      <c r="AD2" t="str">
        <f>IF(OR(Table1[[#This Row],[Final Score]]&gt;=80,Table1[[#This Row],[Attendance %]]&gt;=90),"High Performer","normal")</f>
        <v>High Performer</v>
      </c>
      <c r="AE2" s="1" t="str">
        <f>IF(Table1[[#This Row],[Gender]]="Male","Boy","Girl")</f>
        <v>Boy</v>
      </c>
      <c r="AF2" s="1" t="str">
        <f>IF(Table1[[#This Row],[Final Score]]&gt;90,"Certificate","No Allow Certificate")</f>
        <v>No Allow Certificate</v>
      </c>
      <c r="AG2" s="1" t="str">
        <f>IF(Table1[[#This Row],[Extracurricular]]="Yes","Active","Not Active")</f>
        <v>Active</v>
      </c>
      <c r="AH2" s="1" t="str">
        <f>IF(Table1[[#This Row],[Parent Education]]="Graduate","Educated_Parent", "Other")</f>
        <v>Educated_Parent</v>
      </c>
      <c r="AI2" s="1" t="str">
        <f>IF(Table1[[#This Row],[Assignments Avg]]&lt;70,"Need Practice","Ok")</f>
        <v>Ok</v>
      </c>
      <c r="AJ2" s="1" t="str">
        <f>Table1[[#This Row],[Frist_Name ]]&amp;" -"&amp;Table1[[#This Row],[Class]]</f>
        <v>Aarav -11</v>
      </c>
      <c r="AK2" s="1" t="str">
        <f>RIGHT(Table1[[#This Row],[Full Name ]],LEN(Table1[[#This Row],[Full Name ]])-SEARCH(" ",Table1[[#This Row],[Full Name ]]))</f>
        <v>Sharma</v>
      </c>
      <c r="AL2" s="1" t="str">
        <f>LEFT(Table1[[#This Row],[Full Name ]],SEARCH(" ",Table1[[#This Row],[Full Name ]]))</f>
        <v xml:space="preserve">Aarav </v>
      </c>
      <c r="AM2" s="1">
        <f>LEN(Table1[[#This Row],[Frist_Name ]])</f>
        <v>5</v>
      </c>
      <c r="AN2" s="1" t="s">
        <v>187</v>
      </c>
      <c r="AO2" s="1" t="s">
        <v>187</v>
      </c>
    </row>
    <row r="3" spans="1:46" x14ac:dyDescent="0.3">
      <c r="A3" s="1">
        <v>2</v>
      </c>
      <c r="B3" s="1" t="s">
        <v>39</v>
      </c>
      <c r="C3" s="1" t="s">
        <v>40</v>
      </c>
      <c r="D3" t="str">
        <f>_xlfn.CONCAT(Table1[[#This Row],[Frist_Name ]]," ",Table1[[#This Row],[Last_Name]])</f>
        <v>Ananya Patel</v>
      </c>
      <c r="E3" s="1">
        <v>15</v>
      </c>
      <c r="F3" s="1" t="s">
        <v>25</v>
      </c>
      <c r="G3" s="1">
        <v>10</v>
      </c>
      <c r="H3" s="1" t="s">
        <v>20</v>
      </c>
      <c r="I3" s="1">
        <v>95</v>
      </c>
      <c r="J3" s="1">
        <v>92</v>
      </c>
      <c r="K3" s="1">
        <v>89</v>
      </c>
      <c r="L3" s="1">
        <v>94</v>
      </c>
      <c r="M3" s="1">
        <v>91</v>
      </c>
      <c r="N3" s="1">
        <v>93</v>
      </c>
      <c r="O3" s="1">
        <v>22</v>
      </c>
      <c r="P3" s="1" t="s">
        <v>21</v>
      </c>
      <c r="Q3" s="1" t="s">
        <v>26</v>
      </c>
      <c r="R3" s="1" t="s">
        <v>27</v>
      </c>
      <c r="S3" s="1">
        <v>92</v>
      </c>
      <c r="T3" s="1" t="s">
        <v>28</v>
      </c>
      <c r="U3" s="1" t="s">
        <v>24</v>
      </c>
      <c r="W3">
        <f>(Table1[[#This Row],[Assignments Avg]]*0.1)+(Table1[[#This Row],[Midterm Score]]*0.3)+(Table1[[#This Row],[Final Exam Score]]*0.45)+(Table1[[#This Row],[Project Score]]*0.1)</f>
        <v>87.3</v>
      </c>
      <c r="X3" s="1" t="str">
        <f>IF(OR(Table1[[#This Row],[Attendance %]]&lt;57,Table1[[#This Row],[Final Score]]&lt;45),"At-Risk","Ok")</f>
        <v>Ok</v>
      </c>
      <c r="Y3" s="1" t="str">
        <f>IF(Table1[[#This Row],[Study Hours]]&lt;5,"Low Study","Normal")</f>
        <v>Normal</v>
      </c>
      <c r="Z3" s="1">
        <f>Table1[[#This Row],[Final Exam Score]]-Table1[[#This Row],[Midterm Score]]</f>
        <v>5</v>
      </c>
      <c r="AA3" s="1" t="str">
        <f>IF(Table1[[#This Row],[Final Score]]&gt;=80,"A",IF(Table1[[#This Row],[Final Score]]&gt;=70,"B",IF(Table1[[#This Row],[Final Score]]&gt;=60,"C",IF(Table1[[#This Row],[Final Score]]&gt;=50,"D","F"))))</f>
        <v>A</v>
      </c>
      <c r="AB3" s="1">
        <f>Table1[[#This Row],[Final Score]]+5</f>
        <v>97</v>
      </c>
      <c r="AC3" s="1" t="str">
        <f>IF(Table1[[#This Row],[Final Score]]&gt;=40,"Pass","Fail")</f>
        <v>Pass</v>
      </c>
      <c r="AD3" t="str">
        <f>IF(OR(Table1[[#This Row],[Final Score]]&gt;=80,Table1[[#This Row],[Attendance %]]&gt;=90),"High Performer","normal")</f>
        <v>High Performer</v>
      </c>
      <c r="AE3" s="1" t="str">
        <f>IF(Table1[[#This Row],[Gender]]="Male","Boy","Girl")</f>
        <v>Girl</v>
      </c>
      <c r="AF3" s="1" t="str">
        <f>IF(Table1[[#This Row],[Final Score]]&gt;90,"Certificate","No Allow Certificate")</f>
        <v>Certificate</v>
      </c>
      <c r="AG3" s="1" t="str">
        <f>IF(Table1[[#This Row],[Extracurricular]]="Yes","Active","Not Active")</f>
        <v>Active</v>
      </c>
      <c r="AH3" s="1" t="str">
        <f>IF(Table1[[#This Row],[Parent Education]]="Graduate","Educated_Parent", "Other")</f>
        <v>Other</v>
      </c>
      <c r="AI3" s="1" t="str">
        <f>IF(Table1[[#This Row],[Assignments Avg]]&lt;70,"Need Practice","Ok")</f>
        <v>Ok</v>
      </c>
      <c r="AJ3" s="1" t="str">
        <f>Table1[[#This Row],[Frist_Name ]]&amp;" -"&amp;Table1[[#This Row],[Class]]</f>
        <v>Ananya -10</v>
      </c>
      <c r="AK3" s="1" t="str">
        <f>RIGHT(Table1[[#This Row],[Full Name ]],LEN(Table1[[#This Row],[Full Name ]])-SEARCH(" ",Table1[[#This Row],[Full Name ]]))</f>
        <v>Patel</v>
      </c>
      <c r="AL3" s="1" t="str">
        <f>LEFT(Table1[[#This Row],[Full Name ]],SEARCH(" ",Table1[[#This Row],[Full Name ]]))</f>
        <v xml:space="preserve">Ananya </v>
      </c>
      <c r="AM3" s="1">
        <f>LEN(Table1[[#This Row],[Frist_Name ]])</f>
        <v>6</v>
      </c>
      <c r="AN3" s="1"/>
      <c r="AO3" s="1"/>
      <c r="AQ3">
        <f>AVERAGEIF(Table1[Class],G97,Table1[Final Score])</f>
        <v>70.666666666666671</v>
      </c>
    </row>
    <row r="4" spans="1:46" x14ac:dyDescent="0.3">
      <c r="A4" s="1">
        <v>3</v>
      </c>
      <c r="B4" s="1" t="s">
        <v>41</v>
      </c>
      <c r="C4" s="1" t="s">
        <v>42</v>
      </c>
      <c r="D4" t="str">
        <f>_xlfn.CONCAT(Table1[[#This Row],[Frist_Name ]]," ",Table1[[#This Row],[Last_Name]])</f>
        <v>Rohan Singh</v>
      </c>
      <c r="E4" s="1">
        <v>16</v>
      </c>
      <c r="F4" s="1" t="s">
        <v>19</v>
      </c>
      <c r="G4" s="1">
        <v>10</v>
      </c>
      <c r="H4" s="1" t="s">
        <v>29</v>
      </c>
      <c r="I4" s="1">
        <v>78</v>
      </c>
      <c r="J4" s="1">
        <v>72</v>
      </c>
      <c r="K4" s="1">
        <v>61</v>
      </c>
      <c r="L4" s="1">
        <v>58</v>
      </c>
      <c r="M4" s="1">
        <v>68</v>
      </c>
      <c r="N4" s="1">
        <v>70</v>
      </c>
      <c r="O4" s="1">
        <v>10</v>
      </c>
      <c r="P4" s="1" t="s">
        <v>30</v>
      </c>
      <c r="Q4" s="1" t="s">
        <v>31</v>
      </c>
      <c r="R4" s="1" t="s">
        <v>23</v>
      </c>
      <c r="S4" s="1">
        <v>63</v>
      </c>
      <c r="T4" s="1" t="s">
        <v>32</v>
      </c>
      <c r="U4" s="1" t="s">
        <v>24</v>
      </c>
      <c r="W4">
        <f>(Table1[[#This Row],[Assignments Avg]]*0.1)+(Table1[[#This Row],[Midterm Score]]*0.3)+(Table1[[#This Row],[Final Exam Score]]*0.45)+(Table1[[#This Row],[Project Score]]*0.1)</f>
        <v>58.400000000000006</v>
      </c>
      <c r="X4" s="1" t="str">
        <f>IF(OR(Table1[[#This Row],[Attendance %]]&lt;57,Table1[[#This Row],[Final Score]]&lt;45),"At-Risk","Ok")</f>
        <v>Ok</v>
      </c>
      <c r="Y4" s="1" t="str">
        <f>IF(Table1[[#This Row],[Study Hours]]&lt;5,"Low Study","Normal")</f>
        <v>Normal</v>
      </c>
      <c r="Z4" s="1">
        <f>Table1[[#This Row],[Final Exam Score]]-Table1[[#This Row],[Midterm Score]]</f>
        <v>-3</v>
      </c>
      <c r="AA4" s="1" t="str">
        <f>IF(Table1[[#This Row],[Final Score]]&gt;=80,"A",IF(Table1[[#This Row],[Final Score]]&gt;=70,"B",IF(Table1[[#This Row],[Final Score]]&gt;=60,"C",IF(Table1[[#This Row],[Final Score]]&gt;=50,"D","F"))))</f>
        <v>C</v>
      </c>
      <c r="AB4" s="1">
        <f>Table1[[#This Row],[Final Score]]+5</f>
        <v>68</v>
      </c>
      <c r="AC4" s="1" t="str">
        <f>IF(Table1[[#This Row],[Final Score]]&gt;=40,"Pass","Fail")</f>
        <v>Pass</v>
      </c>
      <c r="AD4" t="str">
        <f>IF(OR(Table1[[#This Row],[Final Score]]&gt;=80,Table1[[#This Row],[Attendance %]]&gt;=90),"High Performer","normal")</f>
        <v>normal</v>
      </c>
      <c r="AE4" s="1" t="str">
        <f>IF(Table1[[#This Row],[Gender]]="Male","Boy","Girl")</f>
        <v>Boy</v>
      </c>
      <c r="AF4" s="1" t="str">
        <f>IF(Table1[[#This Row],[Final Score]]&gt;90,"Certificate","No Allow Certificate")</f>
        <v>No Allow Certificate</v>
      </c>
      <c r="AG4" s="1" t="str">
        <f>IF(Table1[[#This Row],[Extracurricular]]="Yes","Active","Not Active")</f>
        <v>Not Active</v>
      </c>
      <c r="AH4" s="1" t="str">
        <f>IF(Table1[[#This Row],[Parent Education]]="Graduate","Educated_Parent", "Other")</f>
        <v>Other</v>
      </c>
      <c r="AI4" s="1" t="str">
        <f>IF(Table1[[#This Row],[Assignments Avg]]&lt;70,"Need Practice","Ok")</f>
        <v>Ok</v>
      </c>
      <c r="AJ4" s="1" t="str">
        <f>Table1[[#This Row],[Frist_Name ]]&amp;" -"&amp;Table1[[#This Row],[Class]]</f>
        <v>Rohan -10</v>
      </c>
      <c r="AK4" s="1" t="str">
        <f>RIGHT(Table1[[#This Row],[Full Name ]],LEN(Table1[[#This Row],[Full Name ]])-SEARCH(" ",Table1[[#This Row],[Full Name ]]))</f>
        <v>Singh</v>
      </c>
      <c r="AL4" s="1" t="str">
        <f>LEFT(Table1[[#This Row],[Full Name ]],SEARCH(" ",Table1[[#This Row],[Full Name ]]))</f>
        <v xml:space="preserve">Rohan </v>
      </c>
      <c r="AM4" s="1">
        <f>LEN(Table1[[#This Row],[Frist_Name ]])</f>
        <v>5</v>
      </c>
      <c r="AN4" s="1"/>
      <c r="AO4" s="1"/>
    </row>
    <row r="5" spans="1:46" x14ac:dyDescent="0.3">
      <c r="A5" s="1">
        <v>4</v>
      </c>
      <c r="B5" s="1" t="s">
        <v>43</v>
      </c>
      <c r="C5" s="1" t="s">
        <v>44</v>
      </c>
      <c r="D5" t="str">
        <f>_xlfn.CONCAT(Table1[[#This Row],[Frist_Name ]]," ",Table1[[#This Row],[Last_Name]])</f>
        <v>Priya Verma</v>
      </c>
      <c r="E5" s="1">
        <v>15</v>
      </c>
      <c r="F5" s="1" t="s">
        <v>25</v>
      </c>
      <c r="G5" s="1">
        <v>11</v>
      </c>
      <c r="H5" s="1" t="s">
        <v>29</v>
      </c>
      <c r="I5" s="1">
        <v>88</v>
      </c>
      <c r="J5" s="1">
        <v>85</v>
      </c>
      <c r="K5" s="1">
        <v>74</v>
      </c>
      <c r="L5" s="1">
        <v>79</v>
      </c>
      <c r="M5" s="1">
        <v>82</v>
      </c>
      <c r="N5" s="1">
        <v>80</v>
      </c>
      <c r="O5" s="1">
        <v>15</v>
      </c>
      <c r="P5" s="1" t="s">
        <v>21</v>
      </c>
      <c r="Q5" s="1" t="s">
        <v>22</v>
      </c>
      <c r="R5" s="1" t="s">
        <v>23</v>
      </c>
      <c r="S5" s="1">
        <v>79</v>
      </c>
      <c r="T5" s="1" t="s">
        <v>29</v>
      </c>
      <c r="U5" s="1" t="s">
        <v>24</v>
      </c>
      <c r="W5">
        <f>(Table1[[#This Row],[Assignments Avg]]*0.1)+(Table1[[#This Row],[Midterm Score]]*0.3)+(Table1[[#This Row],[Final Exam Score]]*0.45)+(Table1[[#This Row],[Project Score]]*0.1)</f>
        <v>74.45</v>
      </c>
      <c r="X5" s="1" t="str">
        <f>IF(OR(Table1[[#This Row],[Attendance %]]&lt;57,Table1[[#This Row],[Final Score]]&lt;45),"At-Risk","Ok")</f>
        <v>Ok</v>
      </c>
      <c r="Y5" s="1" t="str">
        <f>IF(Table1[[#This Row],[Study Hours]]&lt;5,"Low Study","Normal")</f>
        <v>Normal</v>
      </c>
      <c r="Z5" s="1">
        <f>Table1[[#This Row],[Final Exam Score]]-Table1[[#This Row],[Midterm Score]]</f>
        <v>5</v>
      </c>
      <c r="AA5" s="1" t="str">
        <f>IF(Table1[[#This Row],[Final Score]]&gt;=80,"A",IF(Table1[[#This Row],[Final Score]]&gt;=70,"B",IF(Table1[[#This Row],[Final Score]]&gt;=60,"C",IF(Table1[[#This Row],[Final Score]]&gt;=50,"D","F"))))</f>
        <v>B</v>
      </c>
      <c r="AB5" s="1">
        <f>Table1[[#This Row],[Final Score]]+5</f>
        <v>84</v>
      </c>
      <c r="AC5" s="1" t="str">
        <f>IF(Table1[[#This Row],[Final Score]]&gt;=40,"Pass","Fail")</f>
        <v>Pass</v>
      </c>
      <c r="AD5" t="str">
        <f>IF(OR(Table1[[#This Row],[Final Score]]&gt;=80,Table1[[#This Row],[Attendance %]]&gt;=90),"High Performer","normal")</f>
        <v>normal</v>
      </c>
      <c r="AE5" s="1" t="str">
        <f>IF(Table1[[#This Row],[Gender]]="Male","Boy","Girl")</f>
        <v>Girl</v>
      </c>
      <c r="AF5" s="1" t="str">
        <f>IF(Table1[[#This Row],[Final Score]]&gt;90,"Certificate","No Allow Certificate")</f>
        <v>No Allow Certificate</v>
      </c>
      <c r="AG5" s="1" t="str">
        <f>IF(Table1[[#This Row],[Extracurricular]]="Yes","Active","Not Active")</f>
        <v>Active</v>
      </c>
      <c r="AH5" s="1" t="str">
        <f>IF(Table1[[#This Row],[Parent Education]]="Graduate","Educated_Parent", "Other")</f>
        <v>Educated_Parent</v>
      </c>
      <c r="AI5" s="1" t="str">
        <f>IF(Table1[[#This Row],[Assignments Avg]]&lt;70,"Need Practice","Ok")</f>
        <v>Ok</v>
      </c>
      <c r="AJ5" s="1" t="str">
        <f>Table1[[#This Row],[Frist_Name ]]&amp;" -"&amp;Table1[[#This Row],[Class]]</f>
        <v>Priya -11</v>
      </c>
      <c r="AK5" s="1" t="str">
        <f>RIGHT(Table1[[#This Row],[Full Name ]],LEN(Table1[[#This Row],[Full Name ]])-SEARCH(" ",Table1[[#This Row],[Full Name ]]))</f>
        <v>Verma</v>
      </c>
      <c r="AL5" s="1" t="str">
        <f>LEFT(Table1[[#This Row],[Full Name ]],SEARCH(" ",Table1[[#This Row],[Full Name ]]))</f>
        <v xml:space="preserve">Priya </v>
      </c>
      <c r="AM5" s="1">
        <f>LEN(Table1[[#This Row],[Frist_Name ]])</f>
        <v>5</v>
      </c>
      <c r="AN5" s="1"/>
      <c r="AO5" s="1"/>
      <c r="AP5" s="5" t="s">
        <v>188</v>
      </c>
      <c r="AQ5" s="5"/>
      <c r="AR5" s="5"/>
      <c r="AS5" s="5"/>
      <c r="AT5" s="5"/>
    </row>
    <row r="6" spans="1:46" x14ac:dyDescent="0.3">
      <c r="A6" s="1">
        <v>5</v>
      </c>
      <c r="B6" s="1" t="s">
        <v>45</v>
      </c>
      <c r="C6" s="1" t="s">
        <v>46</v>
      </c>
      <c r="D6" t="str">
        <f>_xlfn.CONCAT(Table1[[#This Row],[Frist_Name ]]," ",Table1[[#This Row],[Last_Name]])</f>
        <v>Vivaan Mehta</v>
      </c>
      <c r="E6" s="1">
        <v>16</v>
      </c>
      <c r="F6" s="1" t="s">
        <v>19</v>
      </c>
      <c r="G6" s="1">
        <v>10</v>
      </c>
      <c r="H6" s="1" t="s">
        <v>32</v>
      </c>
      <c r="I6" s="1">
        <v>65</v>
      </c>
      <c r="J6" s="1">
        <v>58</v>
      </c>
      <c r="K6" s="1">
        <v>42</v>
      </c>
      <c r="L6" s="1">
        <v>38</v>
      </c>
      <c r="M6" s="1">
        <v>55</v>
      </c>
      <c r="N6" s="1">
        <v>50</v>
      </c>
      <c r="O6" s="1">
        <v>7</v>
      </c>
      <c r="P6" s="1" t="s">
        <v>30</v>
      </c>
      <c r="Q6" s="1" t="s">
        <v>31</v>
      </c>
      <c r="R6" s="1" t="s">
        <v>33</v>
      </c>
      <c r="S6" s="1">
        <v>45</v>
      </c>
      <c r="T6" s="1" t="s">
        <v>34</v>
      </c>
      <c r="U6" s="1" t="s">
        <v>35</v>
      </c>
      <c r="W6">
        <f>(Table1[[#This Row],[Assignments Avg]]*0.1)+(Table1[[#This Row],[Midterm Score]]*0.3)+(Table1[[#This Row],[Final Exam Score]]*0.45)+(Table1[[#This Row],[Project Score]]*0.1)</f>
        <v>41</v>
      </c>
      <c r="X6" s="1" t="str">
        <f>IF(OR(Table1[[#This Row],[Attendance %]]&lt;57,Table1[[#This Row],[Final Score]]&lt;45),"At-Risk","Ok")</f>
        <v>Ok</v>
      </c>
      <c r="Y6" s="1" t="str">
        <f>IF(Table1[[#This Row],[Study Hours]]&lt;5,"Low Study","Normal")</f>
        <v>Normal</v>
      </c>
      <c r="Z6" s="1">
        <f>Table1[[#This Row],[Final Exam Score]]-Table1[[#This Row],[Midterm Score]]</f>
        <v>-4</v>
      </c>
      <c r="AA6" s="1" t="str">
        <f>IF(Table1[[#This Row],[Final Score]]&gt;=80,"A",IF(Table1[[#This Row],[Final Score]]&gt;=70,"B",IF(Table1[[#This Row],[Final Score]]&gt;=60,"C",IF(Table1[[#This Row],[Final Score]]&gt;=50,"D","F"))))</f>
        <v>F</v>
      </c>
      <c r="AB6" s="1">
        <f>Table1[[#This Row],[Final Score]]+5</f>
        <v>50</v>
      </c>
      <c r="AC6" s="1" t="str">
        <f>IF(Table1[[#This Row],[Final Score]]&gt;=40,"Pass","Fail")</f>
        <v>Pass</v>
      </c>
      <c r="AD6" t="str">
        <f>IF(OR(Table1[[#This Row],[Final Score]]&gt;=80,Table1[[#This Row],[Attendance %]]&gt;=90),"High Performer","normal")</f>
        <v>normal</v>
      </c>
      <c r="AE6" s="1" t="str">
        <f>IF(Table1[[#This Row],[Gender]]="Male","Boy","Girl")</f>
        <v>Boy</v>
      </c>
      <c r="AF6" s="1" t="str">
        <f>IF(Table1[[#This Row],[Final Score]]&gt;90,"Certificate","No Allow Certificate")</f>
        <v>No Allow Certificate</v>
      </c>
      <c r="AG6" s="1" t="str">
        <f>IF(Table1[[#This Row],[Extracurricular]]="Yes","Active","Not Active")</f>
        <v>Not Active</v>
      </c>
      <c r="AH6" s="1" t="str">
        <f>IF(Table1[[#This Row],[Parent Education]]="Graduate","Educated_Parent", "Other")</f>
        <v>Other</v>
      </c>
      <c r="AI6" s="1" t="str">
        <f>IF(Table1[[#This Row],[Assignments Avg]]&lt;70,"Need Practice","Ok")</f>
        <v>Need Practice</v>
      </c>
      <c r="AJ6" s="1" t="str">
        <f>Table1[[#This Row],[Frist_Name ]]&amp;" -"&amp;Table1[[#This Row],[Class]]</f>
        <v>Vivaan -10</v>
      </c>
      <c r="AK6" s="1" t="str">
        <f>RIGHT(Table1[[#This Row],[Full Name ]],LEN(Table1[[#This Row],[Full Name ]])-SEARCH(" ",Table1[[#This Row],[Full Name ]]))</f>
        <v>Mehta</v>
      </c>
      <c r="AL6" s="1" t="str">
        <f>LEFT(Table1[[#This Row],[Full Name ]],SEARCH(" ",Table1[[#This Row],[Full Name ]]))</f>
        <v xml:space="preserve">Vivaan </v>
      </c>
      <c r="AM6" s="1">
        <f>LEN(Table1[[#This Row],[Frist_Name ]])</f>
        <v>6</v>
      </c>
      <c r="AN6" s="1"/>
      <c r="AO6" s="1"/>
    </row>
    <row r="7" spans="1:46" x14ac:dyDescent="0.3">
      <c r="A7" s="1">
        <v>6</v>
      </c>
      <c r="B7" s="1" t="s">
        <v>47</v>
      </c>
      <c r="C7" s="1" t="s">
        <v>48</v>
      </c>
      <c r="D7" t="str">
        <f>_xlfn.CONCAT(Table1[[#This Row],[Frist_Name ]]," ",Table1[[#This Row],[Last_Name]])</f>
        <v>Isha Gupta</v>
      </c>
      <c r="E7" s="1">
        <v>15</v>
      </c>
      <c r="F7" s="1" t="s">
        <v>25</v>
      </c>
      <c r="G7" s="1">
        <v>10</v>
      </c>
      <c r="H7" s="1" t="s">
        <v>32</v>
      </c>
      <c r="I7" s="1">
        <v>97</v>
      </c>
      <c r="J7" s="1">
        <v>95</v>
      </c>
      <c r="K7" s="1">
        <v>93</v>
      </c>
      <c r="L7" s="1">
        <v>96</v>
      </c>
      <c r="M7" s="1">
        <v>94</v>
      </c>
      <c r="N7" s="1">
        <v>97</v>
      </c>
      <c r="O7" s="1">
        <v>25</v>
      </c>
      <c r="P7" s="1" t="s">
        <v>21</v>
      </c>
      <c r="Q7" s="1" t="s">
        <v>26</v>
      </c>
      <c r="R7" s="1" t="s">
        <v>27</v>
      </c>
      <c r="S7" s="1">
        <v>95</v>
      </c>
      <c r="T7" s="1" t="s">
        <v>28</v>
      </c>
      <c r="U7" s="1" t="s">
        <v>24</v>
      </c>
      <c r="W7">
        <f>(Table1[[#This Row],[Assignments Avg]]*0.1)+(Table1[[#This Row],[Midterm Score]]*0.3)+(Table1[[#This Row],[Final Exam Score]]*0.45)+(Table1[[#This Row],[Project Score]]*0.1)</f>
        <v>90</v>
      </c>
      <c r="X7" s="1" t="str">
        <f>IF(OR(Table1[[#This Row],[Attendance %]]&lt;57,Table1[[#This Row],[Final Score]]&lt;45),"At-Risk","Ok")</f>
        <v>Ok</v>
      </c>
      <c r="Y7" s="1" t="str">
        <f>IF(Table1[[#This Row],[Study Hours]]&lt;5,"Low Study","Normal")</f>
        <v>Normal</v>
      </c>
      <c r="Z7" s="1">
        <f>Table1[[#This Row],[Final Exam Score]]-Table1[[#This Row],[Midterm Score]]</f>
        <v>3</v>
      </c>
      <c r="AA7" s="1" t="str">
        <f>IF(Table1[[#This Row],[Final Score]]&gt;=80,"A",IF(Table1[[#This Row],[Final Score]]&gt;=70,"B",IF(Table1[[#This Row],[Final Score]]&gt;=60,"C",IF(Table1[[#This Row],[Final Score]]&gt;=50,"D","F"))))</f>
        <v>A</v>
      </c>
      <c r="AB7" s="1">
        <f>Table1[[#This Row],[Final Score]]+5</f>
        <v>100</v>
      </c>
      <c r="AC7" s="1" t="str">
        <f>IF(Table1[[#This Row],[Final Score]]&gt;=40,"Pass","Fail")</f>
        <v>Pass</v>
      </c>
      <c r="AD7" t="str">
        <f>IF(OR(Table1[[#This Row],[Final Score]]&gt;=80,Table1[[#This Row],[Attendance %]]&gt;=90),"High Performer","normal")</f>
        <v>High Performer</v>
      </c>
      <c r="AE7" s="1" t="str">
        <f>IF(Table1[[#This Row],[Gender]]="Male","Boy","Girl")</f>
        <v>Girl</v>
      </c>
      <c r="AF7" s="1" t="str">
        <f>IF(Table1[[#This Row],[Final Score]]&gt;90,"Certificate","No Allow Certificate")</f>
        <v>Certificate</v>
      </c>
      <c r="AG7" s="1" t="str">
        <f>IF(Table1[[#This Row],[Extracurricular]]="Yes","Active","Not Active")</f>
        <v>Active</v>
      </c>
      <c r="AH7" s="1" t="str">
        <f>IF(Table1[[#This Row],[Parent Education]]="Graduate","Educated_Parent", "Other")</f>
        <v>Other</v>
      </c>
      <c r="AI7" s="1" t="str">
        <f>IF(Table1[[#This Row],[Assignments Avg]]&lt;70,"Need Practice","Ok")</f>
        <v>Ok</v>
      </c>
      <c r="AJ7" s="1" t="str">
        <f>Table1[[#This Row],[Frist_Name ]]&amp;" -"&amp;Table1[[#This Row],[Class]]</f>
        <v>Isha -10</v>
      </c>
      <c r="AK7" s="1" t="str">
        <f>RIGHT(Table1[[#This Row],[Full Name ]],LEN(Table1[[#This Row],[Full Name ]])-SEARCH(" ",Table1[[#This Row],[Full Name ]]))</f>
        <v>Gupta</v>
      </c>
      <c r="AL7" s="1" t="str">
        <f>LEFT(Table1[[#This Row],[Full Name ]],SEARCH(" ",Table1[[#This Row],[Full Name ]]))</f>
        <v xml:space="preserve">Isha </v>
      </c>
      <c r="AM7" s="1">
        <f>LEN(Table1[[#This Row],[Frist_Name ]])</f>
        <v>4</v>
      </c>
      <c r="AN7" s="1"/>
      <c r="AO7" s="1"/>
      <c r="AP7" t="s">
        <v>24</v>
      </c>
      <c r="AQ7">
        <f>COUNTIF(Table1[Result],U91)</f>
        <v>75</v>
      </c>
    </row>
    <row r="8" spans="1:46" x14ac:dyDescent="0.3">
      <c r="A8" s="1">
        <v>7</v>
      </c>
      <c r="B8" s="1" t="s">
        <v>49</v>
      </c>
      <c r="C8" s="1" t="s">
        <v>50</v>
      </c>
      <c r="D8" t="str">
        <f>_xlfn.CONCAT(Table1[[#This Row],[Frist_Name ]]," ",Table1[[#This Row],[Last_Name]])</f>
        <v>Aditya Kumar</v>
      </c>
      <c r="E8" s="1">
        <v>16</v>
      </c>
      <c r="F8" s="1" t="s">
        <v>19</v>
      </c>
      <c r="G8" s="1">
        <v>10</v>
      </c>
      <c r="H8" s="1" t="s">
        <v>34</v>
      </c>
      <c r="I8" s="1">
        <v>84</v>
      </c>
      <c r="J8" s="1">
        <v>79</v>
      </c>
      <c r="K8" s="1">
        <v>68</v>
      </c>
      <c r="L8" s="1">
        <v>72</v>
      </c>
      <c r="M8" s="1">
        <v>75</v>
      </c>
      <c r="N8" s="1">
        <v>78</v>
      </c>
      <c r="O8" s="1">
        <v>13</v>
      </c>
      <c r="P8" s="1" t="s">
        <v>21</v>
      </c>
      <c r="Q8" s="1" t="s">
        <v>22</v>
      </c>
      <c r="R8" s="1" t="s">
        <v>23</v>
      </c>
      <c r="S8" s="1">
        <v>73</v>
      </c>
      <c r="T8" s="1" t="s">
        <v>29</v>
      </c>
      <c r="U8" s="1" t="s">
        <v>24</v>
      </c>
      <c r="W8">
        <f>(Table1[[#This Row],[Assignments Avg]]*0.1)+(Table1[[#This Row],[Midterm Score]]*0.3)+(Table1[[#This Row],[Final Exam Score]]*0.45)+(Table1[[#This Row],[Project Score]]*0.1)</f>
        <v>68.199999999999989</v>
      </c>
      <c r="X8" s="1" t="str">
        <f>IF(OR(Table1[[#This Row],[Attendance %]]&lt;57,Table1[[#This Row],[Final Score]]&lt;45),"At-Risk","Ok")</f>
        <v>Ok</v>
      </c>
      <c r="Y8" s="1" t="str">
        <f>IF(Table1[[#This Row],[Study Hours]]&lt;5,"Low Study","Normal")</f>
        <v>Normal</v>
      </c>
      <c r="Z8" s="1">
        <f>Table1[[#This Row],[Final Exam Score]]-Table1[[#This Row],[Midterm Score]]</f>
        <v>4</v>
      </c>
      <c r="AA8" s="1" t="str">
        <f>IF(Table1[[#This Row],[Final Score]]&gt;=80,"A",IF(Table1[[#This Row],[Final Score]]&gt;=70,"B",IF(Table1[[#This Row],[Final Score]]&gt;=60,"C",IF(Table1[[#This Row],[Final Score]]&gt;=50,"D","F"))))</f>
        <v>B</v>
      </c>
      <c r="AB8" s="1">
        <f>Table1[[#This Row],[Final Score]]+5</f>
        <v>78</v>
      </c>
      <c r="AC8" s="1" t="str">
        <f>IF(Table1[[#This Row],[Final Score]]&gt;=40,"Pass","Fail")</f>
        <v>Pass</v>
      </c>
      <c r="AD8" t="str">
        <f>IF(OR(Table1[[#This Row],[Final Score]]&gt;=80,Table1[[#This Row],[Attendance %]]&gt;=90),"High Performer","normal")</f>
        <v>normal</v>
      </c>
      <c r="AE8" s="1" t="str">
        <f>IF(Table1[[#This Row],[Gender]]="Male","Boy","Girl")</f>
        <v>Boy</v>
      </c>
      <c r="AF8" s="1" t="str">
        <f>IF(Table1[[#This Row],[Final Score]]&gt;90,"Certificate","No Allow Certificate")</f>
        <v>No Allow Certificate</v>
      </c>
      <c r="AG8" s="1" t="str">
        <f>IF(Table1[[#This Row],[Extracurricular]]="Yes","Active","Not Active")</f>
        <v>Active</v>
      </c>
      <c r="AH8" s="1" t="str">
        <f>IF(Table1[[#This Row],[Parent Education]]="Graduate","Educated_Parent", "Other")</f>
        <v>Educated_Parent</v>
      </c>
      <c r="AI8" s="1" t="str">
        <f>IF(Table1[[#This Row],[Assignments Avg]]&lt;70,"Need Practice","Ok")</f>
        <v>Ok</v>
      </c>
      <c r="AJ8" s="1" t="str">
        <f>Table1[[#This Row],[Frist_Name ]]&amp;" -"&amp;Table1[[#This Row],[Class]]</f>
        <v>Aditya -10</v>
      </c>
      <c r="AK8" s="1" t="str">
        <f>RIGHT(Table1[[#This Row],[Full Name ]],LEN(Table1[[#This Row],[Full Name ]])-SEARCH(" ",Table1[[#This Row],[Full Name ]]))</f>
        <v>Kumar</v>
      </c>
      <c r="AL8" s="1" t="str">
        <f>LEFT(Table1[[#This Row],[Full Name ]],SEARCH(" ",Table1[[#This Row],[Full Name ]]))</f>
        <v xml:space="preserve">Aditya </v>
      </c>
      <c r="AM8" s="1">
        <f>LEN(Table1[[#This Row],[Frist_Name ]])</f>
        <v>6</v>
      </c>
      <c r="AN8" s="1"/>
      <c r="AO8" s="1"/>
    </row>
    <row r="9" spans="1:46" x14ac:dyDescent="0.3">
      <c r="A9" s="1">
        <v>8</v>
      </c>
      <c r="B9" s="1" t="s">
        <v>51</v>
      </c>
      <c r="C9" s="1" t="s">
        <v>52</v>
      </c>
      <c r="D9" t="str">
        <f>_xlfn.CONCAT(Table1[[#This Row],[Frist_Name ]]," ",Table1[[#This Row],[Last_Name]])</f>
        <v>Diya Shah</v>
      </c>
      <c r="E9" s="1">
        <v>15</v>
      </c>
      <c r="F9" s="1" t="s">
        <v>25</v>
      </c>
      <c r="G9" s="1">
        <v>11</v>
      </c>
      <c r="H9" s="1" t="s">
        <v>34</v>
      </c>
      <c r="I9" s="1">
        <v>72</v>
      </c>
      <c r="J9" s="1">
        <v>65</v>
      </c>
      <c r="K9" s="1">
        <v>49</v>
      </c>
      <c r="L9" s="1">
        <v>44</v>
      </c>
      <c r="M9" s="1">
        <v>52</v>
      </c>
      <c r="N9" s="1">
        <v>60</v>
      </c>
      <c r="O9" s="1">
        <v>8</v>
      </c>
      <c r="P9" s="1" t="s">
        <v>30</v>
      </c>
      <c r="Q9" s="1" t="s">
        <v>31</v>
      </c>
      <c r="R9" s="1" t="s">
        <v>33</v>
      </c>
      <c r="S9" s="1">
        <v>50</v>
      </c>
      <c r="T9" s="1" t="s">
        <v>34</v>
      </c>
      <c r="U9" s="1" t="s">
        <v>35</v>
      </c>
      <c r="W9">
        <f>(Table1[[#This Row],[Assignments Avg]]*0.1)+(Table1[[#This Row],[Midterm Score]]*0.3)+(Table1[[#This Row],[Final Exam Score]]*0.45)+(Table1[[#This Row],[Project Score]]*0.1)</f>
        <v>46.2</v>
      </c>
      <c r="X9" s="1" t="str">
        <f>IF(OR(Table1[[#This Row],[Attendance %]]&lt;57,Table1[[#This Row],[Final Score]]&lt;45),"At-Risk","Ok")</f>
        <v>Ok</v>
      </c>
      <c r="Y9" s="1" t="str">
        <f>IF(Table1[[#This Row],[Study Hours]]&lt;5,"Low Study","Normal")</f>
        <v>Normal</v>
      </c>
      <c r="Z9" s="1">
        <f>Table1[[#This Row],[Final Exam Score]]-Table1[[#This Row],[Midterm Score]]</f>
        <v>-5</v>
      </c>
      <c r="AA9" s="1" t="str">
        <f>IF(Table1[[#This Row],[Final Score]]&gt;=80,"A",IF(Table1[[#This Row],[Final Score]]&gt;=70,"B",IF(Table1[[#This Row],[Final Score]]&gt;=60,"C",IF(Table1[[#This Row],[Final Score]]&gt;=50,"D","F"))))</f>
        <v>D</v>
      </c>
      <c r="AB9" s="1">
        <f>Table1[[#This Row],[Final Score]]+5</f>
        <v>55</v>
      </c>
      <c r="AC9" s="1" t="str">
        <f>IF(Table1[[#This Row],[Final Score]]&gt;=40,"Pass","Fail")</f>
        <v>Pass</v>
      </c>
      <c r="AD9" t="str">
        <f>IF(OR(Table1[[#This Row],[Final Score]]&gt;=80,Table1[[#This Row],[Attendance %]]&gt;=90),"High Performer","normal")</f>
        <v>normal</v>
      </c>
      <c r="AE9" s="1" t="str">
        <f>IF(Table1[[#This Row],[Gender]]="Male","Boy","Girl")</f>
        <v>Girl</v>
      </c>
      <c r="AF9" s="1" t="str">
        <f>IF(Table1[[#This Row],[Final Score]]&gt;90,"Certificate","No Allow Certificate")</f>
        <v>No Allow Certificate</v>
      </c>
      <c r="AG9" s="1" t="str">
        <f>IF(Table1[[#This Row],[Extracurricular]]="Yes","Active","Not Active")</f>
        <v>Not Active</v>
      </c>
      <c r="AH9" s="1" t="str">
        <f>IF(Table1[[#This Row],[Parent Education]]="Graduate","Educated_Parent", "Other")</f>
        <v>Other</v>
      </c>
      <c r="AI9" s="1" t="str">
        <f>IF(Table1[[#This Row],[Assignments Avg]]&lt;70,"Need Practice","Ok")</f>
        <v>Need Practice</v>
      </c>
      <c r="AJ9" s="1" t="str">
        <f>Table1[[#This Row],[Frist_Name ]]&amp;" -"&amp;Table1[[#This Row],[Class]]</f>
        <v>Diya -11</v>
      </c>
      <c r="AK9" s="1" t="str">
        <f>RIGHT(Table1[[#This Row],[Full Name ]],LEN(Table1[[#This Row],[Full Name ]])-SEARCH(" ",Table1[[#This Row],[Full Name ]]))</f>
        <v>Shah</v>
      </c>
      <c r="AL9" s="1" t="str">
        <f>LEFT(Table1[[#This Row],[Full Name ]],SEARCH(" ",Table1[[#This Row],[Full Name ]]))</f>
        <v xml:space="preserve">Diya </v>
      </c>
      <c r="AM9" s="1">
        <f>LEN(Table1[[#This Row],[Frist_Name ]])</f>
        <v>4</v>
      </c>
      <c r="AN9" s="1"/>
      <c r="AO9" s="1"/>
      <c r="AP9" t="s">
        <v>35</v>
      </c>
      <c r="AQ9">
        <f>COUNTIF(Table1[Result],Table1[[#This Row],[Result]])</f>
        <v>25</v>
      </c>
    </row>
    <row r="10" spans="1:46" x14ac:dyDescent="0.3">
      <c r="A10" s="1">
        <v>9</v>
      </c>
      <c r="B10" s="1" t="s">
        <v>53</v>
      </c>
      <c r="C10" s="1" t="s">
        <v>54</v>
      </c>
      <c r="D10" t="str">
        <f>_xlfn.CONCAT(Table1[[#This Row],[Frist_Name ]]," ",Table1[[#This Row],[Last_Name]])</f>
        <v>Arjun Joshi</v>
      </c>
      <c r="E10" s="1">
        <v>16</v>
      </c>
      <c r="F10" s="1" t="s">
        <v>19</v>
      </c>
      <c r="G10" s="1">
        <v>10</v>
      </c>
      <c r="H10" s="1" t="s">
        <v>20</v>
      </c>
      <c r="I10" s="1">
        <v>90</v>
      </c>
      <c r="J10" s="1">
        <v>86</v>
      </c>
      <c r="K10" s="1">
        <v>81</v>
      </c>
      <c r="L10" s="1">
        <v>88</v>
      </c>
      <c r="M10" s="1">
        <v>85</v>
      </c>
      <c r="N10" s="1">
        <v>89</v>
      </c>
      <c r="O10" s="1">
        <v>20</v>
      </c>
      <c r="P10" s="1" t="s">
        <v>21</v>
      </c>
      <c r="Q10" s="1" t="s">
        <v>22</v>
      </c>
      <c r="R10" s="1" t="s">
        <v>27</v>
      </c>
      <c r="S10" s="1">
        <v>86</v>
      </c>
      <c r="T10" s="1" t="s">
        <v>20</v>
      </c>
      <c r="U10" s="1" t="s">
        <v>24</v>
      </c>
      <c r="W10">
        <f>(Table1[[#This Row],[Assignments Avg]]*0.1)+(Table1[[#This Row],[Midterm Score]]*0.3)+(Table1[[#This Row],[Final Exam Score]]*0.45)+(Table1[[#This Row],[Project Score]]*0.1)</f>
        <v>81</v>
      </c>
      <c r="X10" s="1" t="str">
        <f>IF(OR(Table1[[#This Row],[Attendance %]]&lt;57,Table1[[#This Row],[Final Score]]&lt;45),"At-Risk","Ok")</f>
        <v>Ok</v>
      </c>
      <c r="Y10" s="1" t="str">
        <f>IF(Table1[[#This Row],[Study Hours]]&lt;5,"Low Study","Normal")</f>
        <v>Normal</v>
      </c>
      <c r="Z10" s="1">
        <f>Table1[[#This Row],[Final Exam Score]]-Table1[[#This Row],[Midterm Score]]</f>
        <v>7</v>
      </c>
      <c r="AA10" s="1" t="str">
        <f>IF(Table1[[#This Row],[Final Score]]&gt;=80,"A",IF(Table1[[#This Row],[Final Score]]&gt;=70,"B",IF(Table1[[#This Row],[Final Score]]&gt;=60,"C",IF(Table1[[#This Row],[Final Score]]&gt;=50,"D","F"))))</f>
        <v>A</v>
      </c>
      <c r="AB10" s="1">
        <f>Table1[[#This Row],[Final Score]]+5</f>
        <v>91</v>
      </c>
      <c r="AC10" s="1" t="str">
        <f>IF(Table1[[#This Row],[Final Score]]&gt;=40,"Pass","Fail")</f>
        <v>Pass</v>
      </c>
      <c r="AD10" t="str">
        <f>IF(OR(Table1[[#This Row],[Final Score]]&gt;=80,Table1[[#This Row],[Attendance %]]&gt;=90),"High Performer","normal")</f>
        <v>High Performer</v>
      </c>
      <c r="AE10" s="1" t="str">
        <f>IF(Table1[[#This Row],[Gender]]="Male","Boy","Girl")</f>
        <v>Boy</v>
      </c>
      <c r="AF10" s="1" t="str">
        <f>IF(Table1[[#This Row],[Final Score]]&gt;90,"Certificate","No Allow Certificate")</f>
        <v>No Allow Certificate</v>
      </c>
      <c r="AG10" s="1" t="str">
        <f>IF(Table1[[#This Row],[Extracurricular]]="Yes","Active","Not Active")</f>
        <v>Active</v>
      </c>
      <c r="AH10" s="1" t="str">
        <f>IF(Table1[[#This Row],[Parent Education]]="Graduate","Educated_Parent", "Other")</f>
        <v>Educated_Parent</v>
      </c>
      <c r="AI10" s="1" t="str">
        <f>IF(Table1[[#This Row],[Assignments Avg]]&lt;70,"Need Practice","Ok")</f>
        <v>Ok</v>
      </c>
      <c r="AJ10" s="1" t="str">
        <f>Table1[[#This Row],[Frist_Name ]]&amp;" -"&amp;Table1[[#This Row],[Class]]</f>
        <v>Arjun -10</v>
      </c>
      <c r="AK10" s="1" t="str">
        <f>RIGHT(Table1[[#This Row],[Full Name ]],LEN(Table1[[#This Row],[Full Name ]])-SEARCH(" ",Table1[[#This Row],[Full Name ]]))</f>
        <v>Joshi</v>
      </c>
      <c r="AL10" s="1" t="str">
        <f>LEFT(Table1[[#This Row],[Full Name ]],SEARCH(" ",Table1[[#This Row],[Full Name ]]))</f>
        <v xml:space="preserve">Arjun </v>
      </c>
      <c r="AM10" s="1">
        <f>LEN(Table1[[#This Row],[Frist_Name ]])</f>
        <v>5</v>
      </c>
      <c r="AN10" s="1"/>
      <c r="AO10" s="1"/>
    </row>
    <row r="11" spans="1:46" x14ac:dyDescent="0.3">
      <c r="A11" s="1">
        <v>10</v>
      </c>
      <c r="B11" s="1" t="s">
        <v>55</v>
      </c>
      <c r="C11" s="1" t="s">
        <v>56</v>
      </c>
      <c r="D11" t="str">
        <f>_xlfn.CONCAT(Table1[[#This Row],[Frist_Name ]]," ",Table1[[#This Row],[Last_Name]])</f>
        <v>Meera Nair</v>
      </c>
      <c r="E11" s="1">
        <v>15</v>
      </c>
      <c r="F11" s="1" t="s">
        <v>25</v>
      </c>
      <c r="G11" s="1">
        <v>10</v>
      </c>
      <c r="H11" s="1" t="s">
        <v>20</v>
      </c>
      <c r="I11" s="1">
        <v>81</v>
      </c>
      <c r="J11" s="1">
        <v>75</v>
      </c>
      <c r="K11" s="1">
        <v>66</v>
      </c>
      <c r="L11" s="1">
        <v>69</v>
      </c>
      <c r="M11" s="1">
        <v>70</v>
      </c>
      <c r="N11" s="1">
        <v>73</v>
      </c>
      <c r="O11" s="1">
        <v>12</v>
      </c>
      <c r="P11" s="1" t="s">
        <v>30</v>
      </c>
      <c r="Q11" s="1" t="s">
        <v>22</v>
      </c>
      <c r="R11" s="1" t="s">
        <v>23</v>
      </c>
      <c r="S11" s="1">
        <v>70</v>
      </c>
      <c r="T11" s="1" t="s">
        <v>29</v>
      </c>
      <c r="U11" s="1" t="s">
        <v>24</v>
      </c>
      <c r="W11">
        <f>(Table1[[#This Row],[Assignments Avg]]*0.1)+(Table1[[#This Row],[Midterm Score]]*0.3)+(Table1[[#This Row],[Final Exam Score]]*0.45)+(Table1[[#This Row],[Project Score]]*0.1)</f>
        <v>65.349999999999994</v>
      </c>
      <c r="X11" s="1" t="str">
        <f>IF(OR(Table1[[#This Row],[Attendance %]]&lt;57,Table1[[#This Row],[Final Score]]&lt;45),"At-Risk","Ok")</f>
        <v>Ok</v>
      </c>
      <c r="Y11" s="1" t="str">
        <f>IF(Table1[[#This Row],[Study Hours]]&lt;5,"Low Study","Normal")</f>
        <v>Normal</v>
      </c>
      <c r="Z11" s="1">
        <f>Table1[[#This Row],[Final Exam Score]]-Table1[[#This Row],[Midterm Score]]</f>
        <v>3</v>
      </c>
      <c r="AA11" s="1" t="str">
        <f>IF(Table1[[#This Row],[Final Score]]&gt;=80,"A",IF(Table1[[#This Row],[Final Score]]&gt;=70,"B",IF(Table1[[#This Row],[Final Score]]&gt;=60,"C",IF(Table1[[#This Row],[Final Score]]&gt;=50,"D","F"))))</f>
        <v>B</v>
      </c>
      <c r="AB11" s="1">
        <f>Table1[[#This Row],[Final Score]]+5</f>
        <v>75</v>
      </c>
      <c r="AC11" s="1" t="str">
        <f>IF(Table1[[#This Row],[Final Score]]&gt;=40,"Pass","Fail")</f>
        <v>Pass</v>
      </c>
      <c r="AD11" t="str">
        <f>IF(OR(Table1[[#This Row],[Final Score]]&gt;=80,Table1[[#This Row],[Attendance %]]&gt;=90),"High Performer","normal")</f>
        <v>normal</v>
      </c>
      <c r="AE11" s="1" t="str">
        <f>IF(Table1[[#This Row],[Gender]]="Male","Boy","Girl")</f>
        <v>Girl</v>
      </c>
      <c r="AF11" s="1" t="str">
        <f>IF(Table1[[#This Row],[Final Score]]&gt;90,"Certificate","No Allow Certificate")</f>
        <v>No Allow Certificate</v>
      </c>
      <c r="AG11" s="1" t="str">
        <f>IF(Table1[[#This Row],[Extracurricular]]="Yes","Active","Not Active")</f>
        <v>Not Active</v>
      </c>
      <c r="AH11" s="1" t="str">
        <f>IF(Table1[[#This Row],[Parent Education]]="Graduate","Educated_Parent", "Other")</f>
        <v>Educated_Parent</v>
      </c>
      <c r="AI11" s="1" t="str">
        <f>IF(Table1[[#This Row],[Assignments Avg]]&lt;70,"Need Practice","Ok")</f>
        <v>Ok</v>
      </c>
      <c r="AJ11" s="1" t="str">
        <f>Table1[[#This Row],[Frist_Name ]]&amp;" -"&amp;Table1[[#This Row],[Class]]</f>
        <v>Meera -10</v>
      </c>
      <c r="AK11" s="1" t="str">
        <f>RIGHT(Table1[[#This Row],[Full Name ]],LEN(Table1[[#This Row],[Full Name ]])-SEARCH(" ",Table1[[#This Row],[Full Name ]]))</f>
        <v>Nair</v>
      </c>
      <c r="AL11" s="1" t="str">
        <f>LEFT(Table1[[#This Row],[Full Name ]],SEARCH(" ",Table1[[#This Row],[Full Name ]]))</f>
        <v xml:space="preserve">Meera </v>
      </c>
      <c r="AM11" s="1">
        <f>LEN(Table1[[#This Row],[Frist_Name ]])</f>
        <v>5</v>
      </c>
      <c r="AN11" s="1"/>
      <c r="AO11" s="1"/>
    </row>
    <row r="12" spans="1:46" x14ac:dyDescent="0.3">
      <c r="A12" s="1">
        <v>11</v>
      </c>
      <c r="B12" s="1" t="s">
        <v>57</v>
      </c>
      <c r="C12" s="1" t="s">
        <v>58</v>
      </c>
      <c r="D12" t="str">
        <f>_xlfn.CONCAT(Table1[[#This Row],[Frist_Name ]]," ",Table1[[#This Row],[Last_Name]])</f>
        <v>Kabir Desai</v>
      </c>
      <c r="E12" s="1">
        <v>16</v>
      </c>
      <c r="F12" s="1" t="s">
        <v>19</v>
      </c>
      <c r="G12" s="1">
        <v>10</v>
      </c>
      <c r="H12" s="1" t="s">
        <v>29</v>
      </c>
      <c r="I12" s="1">
        <v>68</v>
      </c>
      <c r="J12" s="1">
        <v>62</v>
      </c>
      <c r="K12" s="1">
        <v>47</v>
      </c>
      <c r="L12" s="1">
        <v>41</v>
      </c>
      <c r="M12" s="1">
        <v>50</v>
      </c>
      <c r="N12" s="1">
        <v>55</v>
      </c>
      <c r="O12" s="1">
        <v>6</v>
      </c>
      <c r="P12" s="1" t="s">
        <v>30</v>
      </c>
      <c r="Q12" s="1" t="s">
        <v>31</v>
      </c>
      <c r="R12" s="1" t="s">
        <v>33</v>
      </c>
      <c r="S12" s="1">
        <v>46</v>
      </c>
      <c r="T12" s="1" t="s">
        <v>34</v>
      </c>
      <c r="U12" s="1" t="s">
        <v>35</v>
      </c>
      <c r="W12">
        <f>(Table1[[#This Row],[Assignments Avg]]*0.1)+(Table1[[#This Row],[Midterm Score]]*0.3)+(Table1[[#This Row],[Final Exam Score]]*0.45)+(Table1[[#This Row],[Project Score]]*0.1)</f>
        <v>43.75</v>
      </c>
      <c r="X12" s="1" t="str">
        <f>IF(OR(Table1[[#This Row],[Attendance %]]&lt;57,Table1[[#This Row],[Final Score]]&lt;45),"At-Risk","Ok")</f>
        <v>Ok</v>
      </c>
      <c r="Y12" s="1" t="str">
        <f>IF(Table1[[#This Row],[Study Hours]]&lt;5,"Low Study","Normal")</f>
        <v>Normal</v>
      </c>
      <c r="Z12" s="1">
        <f>Table1[[#This Row],[Final Exam Score]]-Table1[[#This Row],[Midterm Score]]</f>
        <v>-6</v>
      </c>
      <c r="AA12" s="1" t="str">
        <f>IF(Table1[[#This Row],[Final Score]]&gt;=80,"A",IF(Table1[[#This Row],[Final Score]]&gt;=70,"B",IF(Table1[[#This Row],[Final Score]]&gt;=60,"C",IF(Table1[[#This Row],[Final Score]]&gt;=50,"D","F"))))</f>
        <v>F</v>
      </c>
      <c r="AB12" s="1">
        <f>Table1[[#This Row],[Final Score]]+5</f>
        <v>51</v>
      </c>
      <c r="AC12" s="1" t="str">
        <f>IF(Table1[[#This Row],[Final Score]]&gt;=40,"Pass","Fail")</f>
        <v>Pass</v>
      </c>
      <c r="AD12" t="str">
        <f>IF(OR(Table1[[#This Row],[Final Score]]&gt;=80,Table1[[#This Row],[Attendance %]]&gt;=90),"High Performer","normal")</f>
        <v>normal</v>
      </c>
      <c r="AE12" s="1" t="str">
        <f>IF(Table1[[#This Row],[Gender]]="Male","Boy","Girl")</f>
        <v>Boy</v>
      </c>
      <c r="AF12" s="1" t="str">
        <f>IF(Table1[[#This Row],[Final Score]]&gt;90,"Certificate","No Allow Certificate")</f>
        <v>No Allow Certificate</v>
      </c>
      <c r="AG12" s="1" t="str">
        <f>IF(Table1[[#This Row],[Extracurricular]]="Yes","Active","Not Active")</f>
        <v>Not Active</v>
      </c>
      <c r="AH12" s="1" t="str">
        <f>IF(Table1[[#This Row],[Parent Education]]="Graduate","Educated_Parent", "Other")</f>
        <v>Other</v>
      </c>
      <c r="AI12" s="1" t="str">
        <f>IF(Table1[[#This Row],[Assignments Avg]]&lt;70,"Need Practice","Ok")</f>
        <v>Need Practice</v>
      </c>
      <c r="AJ12" s="1" t="str">
        <f>Table1[[#This Row],[Frist_Name ]]&amp;" -"&amp;Table1[[#This Row],[Class]]</f>
        <v>Kabir -10</v>
      </c>
      <c r="AK12" s="1" t="str">
        <f>RIGHT(Table1[[#This Row],[Full Name ]],LEN(Table1[[#This Row],[Full Name ]])-SEARCH(" ",Table1[[#This Row],[Full Name ]]))</f>
        <v>Desai</v>
      </c>
      <c r="AL12" s="1" t="str">
        <f>LEFT(Table1[[#This Row],[Full Name ]],SEARCH(" ",Table1[[#This Row],[Full Name ]]))</f>
        <v xml:space="preserve">Kabir </v>
      </c>
      <c r="AM12" s="1">
        <f>LEN(Table1[[#This Row],[Frist_Name ]])</f>
        <v>5</v>
      </c>
      <c r="AN12" s="1"/>
      <c r="AO12" s="1"/>
      <c r="AP12" s="5" t="s">
        <v>189</v>
      </c>
      <c r="AQ12" s="5"/>
      <c r="AR12" s="5"/>
      <c r="AS12" s="5"/>
      <c r="AT12" s="5"/>
    </row>
    <row r="13" spans="1:46" x14ac:dyDescent="0.3">
      <c r="A13" s="1">
        <v>12</v>
      </c>
      <c r="B13" s="1" t="s">
        <v>59</v>
      </c>
      <c r="C13" s="1" t="s">
        <v>60</v>
      </c>
      <c r="D13" t="str">
        <f>_xlfn.CONCAT(Table1[[#This Row],[Frist_Name ]]," ",Table1[[#This Row],[Last_Name]])</f>
        <v>Saanvi Rao</v>
      </c>
      <c r="E13" s="1">
        <v>15</v>
      </c>
      <c r="F13" s="1" t="s">
        <v>25</v>
      </c>
      <c r="G13" s="1">
        <v>10</v>
      </c>
      <c r="H13" s="1" t="s">
        <v>29</v>
      </c>
      <c r="I13" s="1">
        <v>93</v>
      </c>
      <c r="J13" s="1">
        <v>90</v>
      </c>
      <c r="K13" s="1">
        <v>85</v>
      </c>
      <c r="L13" s="1">
        <v>87</v>
      </c>
      <c r="M13" s="1">
        <v>92</v>
      </c>
      <c r="N13" s="1">
        <v>91</v>
      </c>
      <c r="O13" s="1">
        <v>21</v>
      </c>
      <c r="P13" s="1" t="s">
        <v>21</v>
      </c>
      <c r="Q13" s="1" t="s">
        <v>26</v>
      </c>
      <c r="R13" s="1" t="s">
        <v>27</v>
      </c>
      <c r="S13" s="1">
        <v>89</v>
      </c>
      <c r="T13" s="1" t="s">
        <v>20</v>
      </c>
      <c r="U13" s="1" t="s">
        <v>24</v>
      </c>
      <c r="W13">
        <f>(Table1[[#This Row],[Assignments Avg]]*0.1)+(Table1[[#This Row],[Midterm Score]]*0.3)+(Table1[[#This Row],[Final Exam Score]]*0.45)+(Table1[[#This Row],[Project Score]]*0.1)</f>
        <v>82.850000000000009</v>
      </c>
      <c r="X13" s="1" t="str">
        <f>IF(OR(Table1[[#This Row],[Attendance %]]&lt;57,Table1[[#This Row],[Final Score]]&lt;45),"At-Risk","Ok")</f>
        <v>Ok</v>
      </c>
      <c r="Y13" s="1" t="str">
        <f>IF(Table1[[#This Row],[Study Hours]]&lt;5,"Low Study","Normal")</f>
        <v>Normal</v>
      </c>
      <c r="Z13" s="1">
        <f>Table1[[#This Row],[Final Exam Score]]-Table1[[#This Row],[Midterm Score]]</f>
        <v>2</v>
      </c>
      <c r="AA13" s="1" t="str">
        <f>IF(Table1[[#This Row],[Final Score]]&gt;=80,"A",IF(Table1[[#This Row],[Final Score]]&gt;=70,"B",IF(Table1[[#This Row],[Final Score]]&gt;=60,"C",IF(Table1[[#This Row],[Final Score]]&gt;=50,"D","F"))))</f>
        <v>A</v>
      </c>
      <c r="AB13" s="1">
        <f>Table1[[#This Row],[Final Score]]+5</f>
        <v>94</v>
      </c>
      <c r="AC13" s="1" t="str">
        <f>IF(Table1[[#This Row],[Final Score]]&gt;=40,"Pass","Fail")</f>
        <v>Pass</v>
      </c>
      <c r="AD13" t="str">
        <f>IF(OR(Table1[[#This Row],[Final Score]]&gt;=80,Table1[[#This Row],[Attendance %]]&gt;=90),"High Performer","normal")</f>
        <v>High Performer</v>
      </c>
      <c r="AE13" s="1" t="str">
        <f>IF(Table1[[#This Row],[Gender]]="Male","Boy","Girl")</f>
        <v>Girl</v>
      </c>
      <c r="AF13" s="1" t="str">
        <f>IF(Table1[[#This Row],[Final Score]]&gt;90,"Certificate","No Allow Certificate")</f>
        <v>No Allow Certificate</v>
      </c>
      <c r="AG13" s="1" t="str">
        <f>IF(Table1[[#This Row],[Extracurricular]]="Yes","Active","Not Active")</f>
        <v>Active</v>
      </c>
      <c r="AH13" s="1" t="str">
        <f>IF(Table1[[#This Row],[Parent Education]]="Graduate","Educated_Parent", "Other")</f>
        <v>Other</v>
      </c>
      <c r="AI13" s="1" t="str">
        <f>IF(Table1[[#This Row],[Assignments Avg]]&lt;70,"Need Practice","Ok")</f>
        <v>Ok</v>
      </c>
      <c r="AJ13" s="1" t="str">
        <f>Table1[[#This Row],[Frist_Name ]]&amp;" -"&amp;Table1[[#This Row],[Class]]</f>
        <v>Saanvi -10</v>
      </c>
      <c r="AK13" s="1" t="str">
        <f>RIGHT(Table1[[#This Row],[Full Name ]],LEN(Table1[[#This Row],[Full Name ]])-SEARCH(" ",Table1[[#This Row],[Full Name ]]))</f>
        <v>Rao</v>
      </c>
      <c r="AL13" s="1" t="str">
        <f>LEFT(Table1[[#This Row],[Full Name ]],SEARCH(" ",Table1[[#This Row],[Full Name ]]))</f>
        <v xml:space="preserve">Saanvi </v>
      </c>
      <c r="AM13" s="1">
        <f>LEN(Table1[[#This Row],[Frist_Name ]])</f>
        <v>6</v>
      </c>
      <c r="AN13" s="1"/>
      <c r="AO13" s="1"/>
    </row>
    <row r="14" spans="1:46" x14ac:dyDescent="0.3">
      <c r="A14" s="1">
        <v>13</v>
      </c>
      <c r="B14" s="1" t="s">
        <v>61</v>
      </c>
      <c r="C14" s="1" t="s">
        <v>62</v>
      </c>
      <c r="D14" t="str">
        <f>_xlfn.CONCAT(Table1[[#This Row],[Frist_Name ]]," ",Table1[[#This Row],[Last_Name]])</f>
        <v>Reyansh Kapoor</v>
      </c>
      <c r="E14" s="1">
        <v>16</v>
      </c>
      <c r="F14" s="1" t="s">
        <v>19</v>
      </c>
      <c r="G14" s="1">
        <v>11</v>
      </c>
      <c r="H14" s="1" t="s">
        <v>32</v>
      </c>
      <c r="I14" s="1">
        <v>87</v>
      </c>
      <c r="J14" s="1">
        <v>82</v>
      </c>
      <c r="K14" s="1">
        <v>71</v>
      </c>
      <c r="L14" s="1">
        <v>76</v>
      </c>
      <c r="M14" s="1">
        <v>80</v>
      </c>
      <c r="N14" s="1">
        <v>79</v>
      </c>
      <c r="O14" s="1">
        <v>14</v>
      </c>
      <c r="P14" s="1" t="s">
        <v>21</v>
      </c>
      <c r="Q14" s="1" t="s">
        <v>22</v>
      </c>
      <c r="R14" s="1" t="s">
        <v>23</v>
      </c>
      <c r="S14" s="1">
        <v>77</v>
      </c>
      <c r="T14" s="1" t="s">
        <v>29</v>
      </c>
      <c r="U14" s="1" t="s">
        <v>24</v>
      </c>
      <c r="W14">
        <f>(Table1[[#This Row],[Assignments Avg]]*0.1)+(Table1[[#This Row],[Midterm Score]]*0.3)+(Table1[[#This Row],[Final Exam Score]]*0.45)+(Table1[[#This Row],[Project Score]]*0.1)</f>
        <v>71.7</v>
      </c>
      <c r="X14" s="1" t="str">
        <f>IF(OR(Table1[[#This Row],[Attendance %]]&lt;57,Table1[[#This Row],[Final Score]]&lt;45),"At-Risk","Ok")</f>
        <v>Ok</v>
      </c>
      <c r="Y14" s="1" t="str">
        <f>IF(Table1[[#This Row],[Study Hours]]&lt;5,"Low Study","Normal")</f>
        <v>Normal</v>
      </c>
      <c r="Z14" s="1">
        <f>Table1[[#This Row],[Final Exam Score]]-Table1[[#This Row],[Midterm Score]]</f>
        <v>5</v>
      </c>
      <c r="AA14" s="1" t="str">
        <f>IF(Table1[[#This Row],[Final Score]]&gt;=80,"A",IF(Table1[[#This Row],[Final Score]]&gt;=70,"B",IF(Table1[[#This Row],[Final Score]]&gt;=60,"C",IF(Table1[[#This Row],[Final Score]]&gt;=50,"D","F"))))</f>
        <v>B</v>
      </c>
      <c r="AB14" s="1">
        <f>Table1[[#This Row],[Final Score]]+5</f>
        <v>82</v>
      </c>
      <c r="AC14" s="1" t="str">
        <f>IF(Table1[[#This Row],[Final Score]]&gt;=40,"Pass","Fail")</f>
        <v>Pass</v>
      </c>
      <c r="AD14" t="str">
        <f>IF(OR(Table1[[#This Row],[Final Score]]&gt;=80,Table1[[#This Row],[Attendance %]]&gt;=90),"High Performer","normal")</f>
        <v>normal</v>
      </c>
      <c r="AE14" s="1" t="str">
        <f>IF(Table1[[#This Row],[Gender]]="Male","Boy","Girl")</f>
        <v>Boy</v>
      </c>
      <c r="AF14" s="1" t="str">
        <f>IF(Table1[[#This Row],[Final Score]]&gt;90,"Certificate","No Allow Certificate")</f>
        <v>No Allow Certificate</v>
      </c>
      <c r="AG14" s="1" t="str">
        <f>IF(Table1[[#This Row],[Extracurricular]]="Yes","Active","Not Active")</f>
        <v>Active</v>
      </c>
      <c r="AH14" s="1" t="str">
        <f>IF(Table1[[#This Row],[Parent Education]]="Graduate","Educated_Parent", "Other")</f>
        <v>Educated_Parent</v>
      </c>
      <c r="AI14" s="1" t="str">
        <f>IF(Table1[[#This Row],[Assignments Avg]]&lt;70,"Need Practice","Ok")</f>
        <v>Ok</v>
      </c>
      <c r="AJ14" s="1" t="str">
        <f>Table1[[#This Row],[Frist_Name ]]&amp;" -"&amp;Table1[[#This Row],[Class]]</f>
        <v>Reyansh -11</v>
      </c>
      <c r="AK14" s="1" t="str">
        <f>RIGHT(Table1[[#This Row],[Full Name ]],LEN(Table1[[#This Row],[Full Name ]])-SEARCH(" ",Table1[[#This Row],[Full Name ]]))</f>
        <v>Kapoor</v>
      </c>
      <c r="AL14" s="1" t="str">
        <f>LEFT(Table1[[#This Row],[Full Name ]],SEARCH(" ",Table1[[#This Row],[Full Name ]]))</f>
        <v xml:space="preserve">Reyansh </v>
      </c>
      <c r="AM14" s="1">
        <f>LEN(Table1[[#This Row],[Frist_Name ]])</f>
        <v>7</v>
      </c>
      <c r="AN14" s="1"/>
      <c r="AO14" s="1"/>
      <c r="AP14" t="s">
        <v>190</v>
      </c>
      <c r="AQ14">
        <f>COUNTIFS(Table1[Gender],F94)</f>
        <v>51</v>
      </c>
    </row>
    <row r="15" spans="1:46" x14ac:dyDescent="0.3">
      <c r="A15" s="1">
        <v>14</v>
      </c>
      <c r="B15" s="1" t="s">
        <v>63</v>
      </c>
      <c r="C15" s="1" t="s">
        <v>64</v>
      </c>
      <c r="D15" t="str">
        <f>_xlfn.CONCAT(Table1[[#This Row],[Frist_Name ]]," ",Table1[[#This Row],[Last_Name]])</f>
        <v>Aanya Malhotra</v>
      </c>
      <c r="E15" s="1">
        <v>15</v>
      </c>
      <c r="F15" s="1" t="s">
        <v>25</v>
      </c>
      <c r="G15" s="1">
        <v>10</v>
      </c>
      <c r="H15" s="1" t="s">
        <v>32</v>
      </c>
      <c r="I15" s="1">
        <v>76</v>
      </c>
      <c r="J15" s="1">
        <v>69</v>
      </c>
      <c r="K15" s="1">
        <v>55</v>
      </c>
      <c r="L15" s="1">
        <v>51</v>
      </c>
      <c r="M15" s="1">
        <v>60</v>
      </c>
      <c r="N15" s="1">
        <v>65</v>
      </c>
      <c r="O15" s="1">
        <v>9</v>
      </c>
      <c r="P15" s="1" t="s">
        <v>30</v>
      </c>
      <c r="Q15" s="1" t="s">
        <v>31</v>
      </c>
      <c r="R15" s="1" t="s">
        <v>23</v>
      </c>
      <c r="S15" s="1">
        <v>57</v>
      </c>
      <c r="T15" s="1" t="s">
        <v>32</v>
      </c>
      <c r="U15" s="1" t="s">
        <v>24</v>
      </c>
      <c r="W15">
        <f>(Table1[[#This Row],[Assignments Avg]]*0.1)+(Table1[[#This Row],[Midterm Score]]*0.3)+(Table1[[#This Row],[Final Exam Score]]*0.45)+(Table1[[#This Row],[Project Score]]*0.1)</f>
        <v>52.349999999999994</v>
      </c>
      <c r="X15" s="1" t="str">
        <f>IF(OR(Table1[[#This Row],[Attendance %]]&lt;57,Table1[[#This Row],[Final Score]]&lt;45),"At-Risk","Ok")</f>
        <v>Ok</v>
      </c>
      <c r="Y15" s="1" t="str">
        <f>IF(Table1[[#This Row],[Study Hours]]&lt;5,"Low Study","Normal")</f>
        <v>Normal</v>
      </c>
      <c r="Z15" s="1">
        <f>Table1[[#This Row],[Final Exam Score]]-Table1[[#This Row],[Midterm Score]]</f>
        <v>-4</v>
      </c>
      <c r="AA15" s="1" t="str">
        <f>IF(Table1[[#This Row],[Final Score]]&gt;=80,"A",IF(Table1[[#This Row],[Final Score]]&gt;=70,"B",IF(Table1[[#This Row],[Final Score]]&gt;=60,"C",IF(Table1[[#This Row],[Final Score]]&gt;=50,"D","F"))))</f>
        <v>D</v>
      </c>
      <c r="AB15" s="1">
        <f>Table1[[#This Row],[Final Score]]+5</f>
        <v>62</v>
      </c>
      <c r="AC15" s="1" t="str">
        <f>IF(Table1[[#This Row],[Final Score]]&gt;=40,"Pass","Fail")</f>
        <v>Pass</v>
      </c>
      <c r="AD15" t="str">
        <f>IF(OR(Table1[[#This Row],[Final Score]]&gt;=80,Table1[[#This Row],[Attendance %]]&gt;=90),"High Performer","normal")</f>
        <v>normal</v>
      </c>
      <c r="AE15" s="1" t="str">
        <f>IF(Table1[[#This Row],[Gender]]="Male","Boy","Girl")</f>
        <v>Girl</v>
      </c>
      <c r="AF15" s="1" t="str">
        <f>IF(Table1[[#This Row],[Final Score]]&gt;90,"Certificate","No Allow Certificate")</f>
        <v>No Allow Certificate</v>
      </c>
      <c r="AG15" s="1" t="str">
        <f>IF(Table1[[#This Row],[Extracurricular]]="Yes","Active","Not Active")</f>
        <v>Not Active</v>
      </c>
      <c r="AH15" s="1" t="str">
        <f>IF(Table1[[#This Row],[Parent Education]]="Graduate","Educated_Parent", "Other")</f>
        <v>Other</v>
      </c>
      <c r="AI15" s="1" t="str">
        <f>IF(Table1[[#This Row],[Assignments Avg]]&lt;70,"Need Practice","Ok")</f>
        <v>Need Practice</v>
      </c>
      <c r="AJ15" s="1" t="str">
        <f>Table1[[#This Row],[Frist_Name ]]&amp;" -"&amp;Table1[[#This Row],[Class]]</f>
        <v>Aanya -10</v>
      </c>
      <c r="AK15" s="1" t="str">
        <f>RIGHT(Table1[[#This Row],[Full Name ]],LEN(Table1[[#This Row],[Full Name ]])-SEARCH(" ",Table1[[#This Row],[Full Name ]]))</f>
        <v>Malhotra</v>
      </c>
      <c r="AL15" s="1" t="str">
        <f>LEFT(Table1[[#This Row],[Full Name ]],SEARCH(" ",Table1[[#This Row],[Full Name ]]))</f>
        <v xml:space="preserve">Aanya </v>
      </c>
      <c r="AM15" s="1">
        <f>LEN(Table1[[#This Row],[Frist_Name ]])</f>
        <v>5</v>
      </c>
      <c r="AN15" s="1"/>
      <c r="AO15" s="1"/>
      <c r="AP15" t="s">
        <v>191</v>
      </c>
      <c r="AQ15">
        <f>COUNTIF(Table1[Gender],F91)</f>
        <v>49</v>
      </c>
    </row>
    <row r="16" spans="1:46" x14ac:dyDescent="0.3">
      <c r="A16" s="1">
        <v>15</v>
      </c>
      <c r="B16" s="1" t="s">
        <v>65</v>
      </c>
      <c r="C16" s="1" t="s">
        <v>66</v>
      </c>
      <c r="D16" t="str">
        <f>_xlfn.CONCAT(Table1[[#This Row],[Frist_Name ]]," ",Table1[[#This Row],[Last_Name]])</f>
        <v>Atharv Kulkarni</v>
      </c>
      <c r="E16" s="1">
        <v>16</v>
      </c>
      <c r="F16" s="1" t="s">
        <v>19</v>
      </c>
      <c r="G16" s="1">
        <v>10</v>
      </c>
      <c r="H16" s="1" t="s">
        <v>34</v>
      </c>
      <c r="I16" s="1">
        <v>61</v>
      </c>
      <c r="J16" s="1">
        <v>55</v>
      </c>
      <c r="K16" s="1">
        <v>39</v>
      </c>
      <c r="L16" s="1">
        <v>35</v>
      </c>
      <c r="M16" s="1">
        <v>48</v>
      </c>
      <c r="N16" s="1">
        <v>45</v>
      </c>
      <c r="O16" s="1">
        <v>5</v>
      </c>
      <c r="P16" s="1" t="s">
        <v>30</v>
      </c>
      <c r="Q16" s="1" t="s">
        <v>31</v>
      </c>
      <c r="R16" s="1" t="s">
        <v>33</v>
      </c>
      <c r="S16" s="1">
        <v>41</v>
      </c>
      <c r="T16" s="1" t="s">
        <v>34</v>
      </c>
      <c r="U16" s="1" t="s">
        <v>35</v>
      </c>
      <c r="W16">
        <f>(Table1[[#This Row],[Assignments Avg]]*0.1)+(Table1[[#This Row],[Midterm Score]]*0.3)+(Table1[[#This Row],[Final Exam Score]]*0.45)+(Table1[[#This Row],[Project Score]]*0.1)</f>
        <v>37.75</v>
      </c>
      <c r="X16" s="1" t="str">
        <f>IF(OR(Table1[[#This Row],[Attendance %]]&lt;57,Table1[[#This Row],[Final Score]]&lt;45),"At-Risk","Ok")</f>
        <v>At-Risk</v>
      </c>
      <c r="Y16" s="1" t="str">
        <f>IF(Table1[[#This Row],[Study Hours]]&lt;5,"Low Study","Normal")</f>
        <v>Normal</v>
      </c>
      <c r="Z16" s="1">
        <f>Table1[[#This Row],[Final Exam Score]]-Table1[[#This Row],[Midterm Score]]</f>
        <v>-4</v>
      </c>
      <c r="AA16" s="1" t="str">
        <f>IF(Table1[[#This Row],[Final Score]]&gt;=80,"A",IF(Table1[[#This Row],[Final Score]]&gt;=70,"B",IF(Table1[[#This Row],[Final Score]]&gt;=60,"C",IF(Table1[[#This Row],[Final Score]]&gt;=50,"D","F"))))</f>
        <v>F</v>
      </c>
      <c r="AB16" s="1">
        <f>Table1[[#This Row],[Final Score]]+5</f>
        <v>46</v>
      </c>
      <c r="AC16" s="1" t="str">
        <f>IF(Table1[[#This Row],[Final Score]]&gt;=40,"Pass","Fail")</f>
        <v>Pass</v>
      </c>
      <c r="AD16" t="str">
        <f>IF(OR(Table1[[#This Row],[Final Score]]&gt;=80,Table1[[#This Row],[Attendance %]]&gt;=90),"High Performer","normal")</f>
        <v>normal</v>
      </c>
      <c r="AE16" s="1" t="str">
        <f>IF(Table1[[#This Row],[Gender]]="Male","Boy","Girl")</f>
        <v>Boy</v>
      </c>
      <c r="AF16" s="1" t="str">
        <f>IF(Table1[[#This Row],[Final Score]]&gt;90,"Certificate","No Allow Certificate")</f>
        <v>No Allow Certificate</v>
      </c>
      <c r="AG16" s="1" t="str">
        <f>IF(Table1[[#This Row],[Extracurricular]]="Yes","Active","Not Active")</f>
        <v>Not Active</v>
      </c>
      <c r="AH16" s="1" t="str">
        <f>IF(Table1[[#This Row],[Parent Education]]="Graduate","Educated_Parent", "Other")</f>
        <v>Other</v>
      </c>
      <c r="AI16" s="1" t="str">
        <f>IF(Table1[[#This Row],[Assignments Avg]]&lt;70,"Need Practice","Ok")</f>
        <v>Need Practice</v>
      </c>
      <c r="AJ16" s="1" t="str">
        <f>Table1[[#This Row],[Frist_Name ]]&amp;" -"&amp;Table1[[#This Row],[Class]]</f>
        <v>Atharv -10</v>
      </c>
      <c r="AK16" s="1" t="str">
        <f>RIGHT(Table1[[#This Row],[Full Name ]],LEN(Table1[[#This Row],[Full Name ]])-SEARCH(" ",Table1[[#This Row],[Full Name ]]))</f>
        <v>Kulkarni</v>
      </c>
      <c r="AL16" s="1" t="str">
        <f>LEFT(Table1[[#This Row],[Full Name ]],SEARCH(" ",Table1[[#This Row],[Full Name ]]))</f>
        <v xml:space="preserve">Atharv </v>
      </c>
      <c r="AM16" s="1">
        <f>LEN(Table1[[#This Row],[Frist_Name ]])</f>
        <v>6</v>
      </c>
      <c r="AN16" s="1"/>
      <c r="AO16" s="1"/>
    </row>
    <row r="17" spans="1:46" x14ac:dyDescent="0.3">
      <c r="A17" s="1">
        <v>16</v>
      </c>
      <c r="B17" s="1" t="s">
        <v>67</v>
      </c>
      <c r="C17" s="1" t="s">
        <v>68</v>
      </c>
      <c r="D17" t="str">
        <f>_xlfn.CONCAT(Table1[[#This Row],[Frist_Name ]]," ",Table1[[#This Row],[Last_Name]])</f>
        <v>Kiara Choudhary</v>
      </c>
      <c r="E17" s="1">
        <v>15</v>
      </c>
      <c r="F17" s="1" t="s">
        <v>25</v>
      </c>
      <c r="G17" s="1">
        <v>10</v>
      </c>
      <c r="H17" s="1" t="s">
        <v>34</v>
      </c>
      <c r="I17" s="1">
        <v>98</v>
      </c>
      <c r="J17" s="1">
        <v>96</v>
      </c>
      <c r="K17" s="1">
        <v>94</v>
      </c>
      <c r="L17" s="1">
        <v>91</v>
      </c>
      <c r="M17" s="1">
        <v>96</v>
      </c>
      <c r="N17" s="1">
        <v>95</v>
      </c>
      <c r="O17" s="1">
        <v>24</v>
      </c>
      <c r="P17" s="1" t="s">
        <v>21</v>
      </c>
      <c r="Q17" s="1" t="s">
        <v>26</v>
      </c>
      <c r="R17" s="1" t="s">
        <v>27</v>
      </c>
      <c r="S17" s="1">
        <v>94</v>
      </c>
      <c r="T17" s="1" t="s">
        <v>28</v>
      </c>
      <c r="U17" s="1" t="s">
        <v>24</v>
      </c>
      <c r="W17">
        <f>(Table1[[#This Row],[Assignments Avg]]*0.1)+(Table1[[#This Row],[Midterm Score]]*0.3)+(Table1[[#This Row],[Final Exam Score]]*0.45)+(Table1[[#This Row],[Project Score]]*0.1)</f>
        <v>88.35</v>
      </c>
      <c r="X17" s="1" t="str">
        <f>IF(OR(Table1[[#This Row],[Attendance %]]&lt;57,Table1[[#This Row],[Final Score]]&lt;45),"At-Risk","Ok")</f>
        <v>Ok</v>
      </c>
      <c r="Y17" s="1" t="str">
        <f>IF(Table1[[#This Row],[Study Hours]]&lt;5,"Low Study","Normal")</f>
        <v>Normal</v>
      </c>
      <c r="Z17" s="1">
        <f>Table1[[#This Row],[Final Exam Score]]-Table1[[#This Row],[Midterm Score]]</f>
        <v>-3</v>
      </c>
      <c r="AA17" s="1" t="str">
        <f>IF(Table1[[#This Row],[Final Score]]&gt;=80,"A",IF(Table1[[#This Row],[Final Score]]&gt;=70,"B",IF(Table1[[#This Row],[Final Score]]&gt;=60,"C",IF(Table1[[#This Row],[Final Score]]&gt;=50,"D","F"))))</f>
        <v>A</v>
      </c>
      <c r="AB17" s="1">
        <f>Table1[[#This Row],[Final Score]]+5</f>
        <v>99</v>
      </c>
      <c r="AC17" s="1" t="str">
        <f>IF(Table1[[#This Row],[Final Score]]&gt;=40,"Pass","Fail")</f>
        <v>Pass</v>
      </c>
      <c r="AD17" t="str">
        <f>IF(OR(Table1[[#This Row],[Final Score]]&gt;=80,Table1[[#This Row],[Attendance %]]&gt;=90),"High Performer","normal")</f>
        <v>High Performer</v>
      </c>
      <c r="AE17" s="1" t="str">
        <f>IF(Table1[[#This Row],[Gender]]="Male","Boy","Girl")</f>
        <v>Girl</v>
      </c>
      <c r="AF17" s="1" t="str">
        <f>IF(Table1[[#This Row],[Final Score]]&gt;90,"Certificate","No Allow Certificate")</f>
        <v>Certificate</v>
      </c>
      <c r="AG17" s="1" t="str">
        <f>IF(Table1[[#This Row],[Extracurricular]]="Yes","Active","Not Active")</f>
        <v>Active</v>
      </c>
      <c r="AH17" s="1" t="str">
        <f>IF(Table1[[#This Row],[Parent Education]]="Graduate","Educated_Parent", "Other")</f>
        <v>Other</v>
      </c>
      <c r="AI17" s="1" t="str">
        <f>IF(Table1[[#This Row],[Assignments Avg]]&lt;70,"Need Practice","Ok")</f>
        <v>Ok</v>
      </c>
      <c r="AJ17" s="1" t="str">
        <f>Table1[[#This Row],[Frist_Name ]]&amp;" -"&amp;Table1[[#This Row],[Class]]</f>
        <v>Kiara -10</v>
      </c>
      <c r="AK17" s="1" t="str">
        <f>RIGHT(Table1[[#This Row],[Full Name ]],LEN(Table1[[#This Row],[Full Name ]])-SEARCH(" ",Table1[[#This Row],[Full Name ]]))</f>
        <v>Choudhary</v>
      </c>
      <c r="AL17" s="1" t="str">
        <f>LEFT(Table1[[#This Row],[Full Name ]],SEARCH(" ",Table1[[#This Row],[Full Name ]]))</f>
        <v xml:space="preserve">Kiara </v>
      </c>
      <c r="AM17" s="1">
        <f>LEN(Table1[[#This Row],[Frist_Name ]])</f>
        <v>5</v>
      </c>
      <c r="AN17" s="1"/>
      <c r="AO17" s="1"/>
    </row>
    <row r="18" spans="1:46" x14ac:dyDescent="0.3">
      <c r="A18" s="1">
        <v>17</v>
      </c>
      <c r="B18" s="1" t="s">
        <v>69</v>
      </c>
      <c r="C18" s="1" t="s">
        <v>70</v>
      </c>
      <c r="D18" t="str">
        <f>_xlfn.CONCAT(Table1[[#This Row],[Frist_Name ]]," ",Table1[[#This Row],[Last_Name]])</f>
        <v>Dev Mishra</v>
      </c>
      <c r="E18" s="1">
        <v>16</v>
      </c>
      <c r="F18" s="1" t="s">
        <v>19</v>
      </c>
      <c r="G18" s="1">
        <v>10</v>
      </c>
      <c r="H18" s="1" t="s">
        <v>20</v>
      </c>
      <c r="I18" s="1">
        <v>89</v>
      </c>
      <c r="J18" s="1">
        <v>84</v>
      </c>
      <c r="K18" s="1">
        <v>77</v>
      </c>
      <c r="L18" s="1">
        <v>82</v>
      </c>
      <c r="M18" s="1">
        <v>79</v>
      </c>
      <c r="N18" s="1">
        <v>83</v>
      </c>
      <c r="O18" s="1">
        <v>17</v>
      </c>
      <c r="P18" s="1" t="s">
        <v>21</v>
      </c>
      <c r="Q18" s="1" t="s">
        <v>22</v>
      </c>
      <c r="R18" s="1" t="s">
        <v>23</v>
      </c>
      <c r="S18" s="1">
        <v>81</v>
      </c>
      <c r="T18" s="1" t="s">
        <v>20</v>
      </c>
      <c r="U18" s="1" t="s">
        <v>24</v>
      </c>
      <c r="W18">
        <f>(Table1[[#This Row],[Assignments Avg]]*0.1)+(Table1[[#This Row],[Midterm Score]]*0.3)+(Table1[[#This Row],[Final Exam Score]]*0.45)+(Table1[[#This Row],[Project Score]]*0.1)</f>
        <v>76.300000000000011</v>
      </c>
      <c r="X18" s="1" t="str">
        <f>IF(OR(Table1[[#This Row],[Attendance %]]&lt;57,Table1[[#This Row],[Final Score]]&lt;45),"At-Risk","Ok")</f>
        <v>Ok</v>
      </c>
      <c r="Y18" s="1" t="str">
        <f>IF(Table1[[#This Row],[Study Hours]]&lt;5,"Low Study","Normal")</f>
        <v>Normal</v>
      </c>
      <c r="Z18" s="1">
        <f>Table1[[#This Row],[Final Exam Score]]-Table1[[#This Row],[Midterm Score]]</f>
        <v>5</v>
      </c>
      <c r="AA18" s="1" t="str">
        <f>IF(Table1[[#This Row],[Final Score]]&gt;=80,"A",IF(Table1[[#This Row],[Final Score]]&gt;=70,"B",IF(Table1[[#This Row],[Final Score]]&gt;=60,"C",IF(Table1[[#This Row],[Final Score]]&gt;=50,"D","F"))))</f>
        <v>A</v>
      </c>
      <c r="AB18" s="1">
        <f>Table1[[#This Row],[Final Score]]+5</f>
        <v>86</v>
      </c>
      <c r="AC18" s="1" t="str">
        <f>IF(Table1[[#This Row],[Final Score]]&gt;=40,"Pass","Fail")</f>
        <v>Pass</v>
      </c>
      <c r="AD18" t="str">
        <f>IF(OR(Table1[[#This Row],[Final Score]]&gt;=80,Table1[[#This Row],[Attendance %]]&gt;=90),"High Performer","normal")</f>
        <v>High Performer</v>
      </c>
      <c r="AE18" s="1" t="str">
        <f>IF(Table1[[#This Row],[Gender]]="Male","Boy","Girl")</f>
        <v>Boy</v>
      </c>
      <c r="AF18" s="1" t="str">
        <f>IF(Table1[[#This Row],[Final Score]]&gt;90,"Certificate","No Allow Certificate")</f>
        <v>No Allow Certificate</v>
      </c>
      <c r="AG18" s="1" t="str">
        <f>IF(Table1[[#This Row],[Extracurricular]]="Yes","Active","Not Active")</f>
        <v>Active</v>
      </c>
      <c r="AH18" s="1" t="str">
        <f>IF(Table1[[#This Row],[Parent Education]]="Graduate","Educated_Parent", "Other")</f>
        <v>Educated_Parent</v>
      </c>
      <c r="AI18" s="1" t="str">
        <f>IF(Table1[[#This Row],[Assignments Avg]]&lt;70,"Need Practice","Ok")</f>
        <v>Ok</v>
      </c>
      <c r="AJ18" s="1" t="str">
        <f>Table1[[#This Row],[Frist_Name ]]&amp;" -"&amp;Table1[[#This Row],[Class]]</f>
        <v>Dev -10</v>
      </c>
      <c r="AK18" s="1" t="str">
        <f>RIGHT(Table1[[#This Row],[Full Name ]],LEN(Table1[[#This Row],[Full Name ]])-SEARCH(" ",Table1[[#This Row],[Full Name ]]))</f>
        <v>Mishra</v>
      </c>
      <c r="AL18" s="1" t="str">
        <f>LEFT(Table1[[#This Row],[Full Name ]],SEARCH(" ",Table1[[#This Row],[Full Name ]]))</f>
        <v xml:space="preserve">Dev </v>
      </c>
      <c r="AM18" s="1">
        <f>LEN(Table1[[#This Row],[Frist_Name ]])</f>
        <v>3</v>
      </c>
      <c r="AN18" s="1"/>
      <c r="AO18" s="1"/>
      <c r="AP18" s="5" t="s">
        <v>192</v>
      </c>
      <c r="AQ18" s="5"/>
      <c r="AR18" s="5"/>
      <c r="AS18" s="5"/>
      <c r="AT18" s="5"/>
    </row>
    <row r="19" spans="1:46" x14ac:dyDescent="0.3">
      <c r="A19" s="1">
        <v>18</v>
      </c>
      <c r="B19" s="1" t="s">
        <v>71</v>
      </c>
      <c r="C19" s="1" t="s">
        <v>72</v>
      </c>
      <c r="D19" t="str">
        <f>_xlfn.CONCAT(Table1[[#This Row],[Frist_Name ]]," ",Table1[[#This Row],[Last_Name]])</f>
        <v>Myra Iyer</v>
      </c>
      <c r="E19" s="1">
        <v>15</v>
      </c>
      <c r="F19" s="1" t="s">
        <v>25</v>
      </c>
      <c r="G19" s="1">
        <v>10</v>
      </c>
      <c r="H19" s="1" t="s">
        <v>20</v>
      </c>
      <c r="I19" s="1">
        <v>83</v>
      </c>
      <c r="J19" s="1">
        <v>78</v>
      </c>
      <c r="K19" s="1">
        <v>64</v>
      </c>
      <c r="L19" s="1">
        <v>67</v>
      </c>
      <c r="M19" s="1">
        <v>73</v>
      </c>
      <c r="N19" s="1">
        <v>76</v>
      </c>
      <c r="O19" s="1">
        <v>13</v>
      </c>
      <c r="P19" s="1" t="s">
        <v>21</v>
      </c>
      <c r="Q19" s="1" t="s">
        <v>22</v>
      </c>
      <c r="R19" s="1" t="s">
        <v>23</v>
      </c>
      <c r="S19" s="1">
        <v>69</v>
      </c>
      <c r="T19" s="1" t="s">
        <v>29</v>
      </c>
      <c r="U19" s="1" t="s">
        <v>24</v>
      </c>
      <c r="W19">
        <f>(Table1[[#This Row],[Assignments Avg]]*0.1)+(Table1[[#This Row],[Midterm Score]]*0.3)+(Table1[[#This Row],[Final Exam Score]]*0.45)+(Table1[[#This Row],[Project Score]]*0.1)</f>
        <v>64.45</v>
      </c>
      <c r="X19" s="1" t="str">
        <f>IF(OR(Table1[[#This Row],[Attendance %]]&lt;57,Table1[[#This Row],[Final Score]]&lt;45),"At-Risk","Ok")</f>
        <v>Ok</v>
      </c>
      <c r="Y19" s="1" t="str">
        <f>IF(Table1[[#This Row],[Study Hours]]&lt;5,"Low Study","Normal")</f>
        <v>Normal</v>
      </c>
      <c r="Z19" s="1">
        <f>Table1[[#This Row],[Final Exam Score]]-Table1[[#This Row],[Midterm Score]]</f>
        <v>3</v>
      </c>
      <c r="AA19" s="1" t="str">
        <f>IF(Table1[[#This Row],[Final Score]]&gt;=80,"A",IF(Table1[[#This Row],[Final Score]]&gt;=70,"B",IF(Table1[[#This Row],[Final Score]]&gt;=60,"C",IF(Table1[[#This Row],[Final Score]]&gt;=50,"D","F"))))</f>
        <v>C</v>
      </c>
      <c r="AB19" s="1">
        <f>Table1[[#This Row],[Final Score]]+5</f>
        <v>74</v>
      </c>
      <c r="AC19" s="1" t="str">
        <f>IF(Table1[[#This Row],[Final Score]]&gt;=40,"Pass","Fail")</f>
        <v>Pass</v>
      </c>
      <c r="AD19" t="str">
        <f>IF(OR(Table1[[#This Row],[Final Score]]&gt;=80,Table1[[#This Row],[Attendance %]]&gt;=90),"High Performer","normal")</f>
        <v>normal</v>
      </c>
      <c r="AE19" s="1" t="str">
        <f>IF(Table1[[#This Row],[Gender]]="Male","Boy","Girl")</f>
        <v>Girl</v>
      </c>
      <c r="AF19" s="1" t="str">
        <f>IF(Table1[[#This Row],[Final Score]]&gt;90,"Certificate","No Allow Certificate")</f>
        <v>No Allow Certificate</v>
      </c>
      <c r="AG19" s="1" t="str">
        <f>IF(Table1[[#This Row],[Extracurricular]]="Yes","Active","Not Active")</f>
        <v>Active</v>
      </c>
      <c r="AH19" s="1" t="str">
        <f>IF(Table1[[#This Row],[Parent Education]]="Graduate","Educated_Parent", "Other")</f>
        <v>Educated_Parent</v>
      </c>
      <c r="AI19" s="1" t="str">
        <f>IF(Table1[[#This Row],[Assignments Avg]]&lt;70,"Need Practice","Ok")</f>
        <v>Ok</v>
      </c>
      <c r="AJ19" s="1" t="str">
        <f>Table1[[#This Row],[Frist_Name ]]&amp;" -"&amp;Table1[[#This Row],[Class]]</f>
        <v>Myra -10</v>
      </c>
      <c r="AK19" s="1" t="str">
        <f>RIGHT(Table1[[#This Row],[Full Name ]],LEN(Table1[[#This Row],[Full Name ]])-SEARCH(" ",Table1[[#This Row],[Full Name ]]))</f>
        <v>Iyer</v>
      </c>
      <c r="AL19" s="1" t="str">
        <f>LEFT(Table1[[#This Row],[Full Name ]],SEARCH(" ",Table1[[#This Row],[Full Name ]]))</f>
        <v xml:space="preserve">Myra </v>
      </c>
      <c r="AM19" s="1">
        <f>LEN(Table1[[#This Row],[Frist_Name ]])</f>
        <v>4</v>
      </c>
      <c r="AN19" s="1"/>
      <c r="AO19" s="1"/>
    </row>
    <row r="20" spans="1:46" x14ac:dyDescent="0.3">
      <c r="A20" s="1">
        <v>19</v>
      </c>
      <c r="B20" s="1" t="s">
        <v>73</v>
      </c>
      <c r="C20" s="1" t="s">
        <v>74</v>
      </c>
      <c r="D20" t="str">
        <f>_xlfn.CONCAT(Table1[[#This Row],[Frist_Name ]]," ",Table1[[#This Row],[Last_Name]])</f>
        <v>Krish Yadav</v>
      </c>
      <c r="E20" s="1">
        <v>16</v>
      </c>
      <c r="F20" s="1" t="s">
        <v>19</v>
      </c>
      <c r="G20" s="1">
        <v>11</v>
      </c>
      <c r="H20" s="1" t="s">
        <v>29</v>
      </c>
      <c r="I20" s="1">
        <v>70</v>
      </c>
      <c r="J20" s="1">
        <v>64</v>
      </c>
      <c r="K20" s="1">
        <v>45</v>
      </c>
      <c r="L20" s="1">
        <v>48</v>
      </c>
      <c r="M20" s="1">
        <v>53</v>
      </c>
      <c r="N20" s="1">
        <v>57</v>
      </c>
      <c r="O20" s="1">
        <v>7</v>
      </c>
      <c r="P20" s="1" t="s">
        <v>30</v>
      </c>
      <c r="Q20" s="1" t="s">
        <v>31</v>
      </c>
      <c r="R20" s="1" t="s">
        <v>33</v>
      </c>
      <c r="S20" s="1">
        <v>50</v>
      </c>
      <c r="T20" s="1" t="s">
        <v>34</v>
      </c>
      <c r="U20" s="1" t="s">
        <v>35</v>
      </c>
      <c r="W20">
        <f>(Table1[[#This Row],[Assignments Avg]]*0.1)+(Table1[[#This Row],[Midterm Score]]*0.3)+(Table1[[#This Row],[Final Exam Score]]*0.45)+(Table1[[#This Row],[Project Score]]*0.1)</f>
        <v>46.8</v>
      </c>
      <c r="X20" s="1" t="str">
        <f>IF(OR(Table1[[#This Row],[Attendance %]]&lt;57,Table1[[#This Row],[Final Score]]&lt;45),"At-Risk","Ok")</f>
        <v>Ok</v>
      </c>
      <c r="Y20" s="1" t="str">
        <f>IF(Table1[[#This Row],[Study Hours]]&lt;5,"Low Study","Normal")</f>
        <v>Normal</v>
      </c>
      <c r="Z20" s="1">
        <f>Table1[[#This Row],[Final Exam Score]]-Table1[[#This Row],[Midterm Score]]</f>
        <v>3</v>
      </c>
      <c r="AA20" s="1" t="str">
        <f>IF(Table1[[#This Row],[Final Score]]&gt;=80,"A",IF(Table1[[#This Row],[Final Score]]&gt;=70,"B",IF(Table1[[#This Row],[Final Score]]&gt;=60,"C",IF(Table1[[#This Row],[Final Score]]&gt;=50,"D","F"))))</f>
        <v>D</v>
      </c>
      <c r="AB20" s="1">
        <f>Table1[[#This Row],[Final Score]]+5</f>
        <v>55</v>
      </c>
      <c r="AC20" s="1" t="str">
        <f>IF(Table1[[#This Row],[Final Score]]&gt;=40,"Pass","Fail")</f>
        <v>Pass</v>
      </c>
      <c r="AD20" t="str">
        <f>IF(OR(Table1[[#This Row],[Final Score]]&gt;=80,Table1[[#This Row],[Attendance %]]&gt;=90),"High Performer","normal")</f>
        <v>normal</v>
      </c>
      <c r="AE20" s="1" t="str">
        <f>IF(Table1[[#This Row],[Gender]]="Male","Boy","Girl")</f>
        <v>Boy</v>
      </c>
      <c r="AF20" s="1" t="str">
        <f>IF(Table1[[#This Row],[Final Score]]&gt;90,"Certificate","No Allow Certificate")</f>
        <v>No Allow Certificate</v>
      </c>
      <c r="AG20" s="1" t="str">
        <f>IF(Table1[[#This Row],[Extracurricular]]="Yes","Active","Not Active")</f>
        <v>Not Active</v>
      </c>
      <c r="AH20" s="1" t="str">
        <f>IF(Table1[[#This Row],[Parent Education]]="Graduate","Educated_Parent", "Other")</f>
        <v>Other</v>
      </c>
      <c r="AI20" s="1" t="str">
        <f>IF(Table1[[#This Row],[Assignments Avg]]&lt;70,"Need Practice","Ok")</f>
        <v>Need Practice</v>
      </c>
      <c r="AJ20" s="1" t="str">
        <f>Table1[[#This Row],[Frist_Name ]]&amp;" -"&amp;Table1[[#This Row],[Class]]</f>
        <v>Krish -11</v>
      </c>
      <c r="AK20" s="1" t="str">
        <f>RIGHT(Table1[[#This Row],[Full Name ]],LEN(Table1[[#This Row],[Full Name ]])-SEARCH(" ",Table1[[#This Row],[Full Name ]]))</f>
        <v>Yadav</v>
      </c>
      <c r="AL20" s="1" t="str">
        <f>LEFT(Table1[[#This Row],[Full Name ]],SEARCH(" ",Table1[[#This Row],[Full Name ]]))</f>
        <v xml:space="preserve">Krish </v>
      </c>
      <c r="AM20" s="1">
        <f>LEN(Table1[[#This Row],[Frist_Name ]])</f>
        <v>5</v>
      </c>
      <c r="AN20" s="1"/>
      <c r="AO20" s="1"/>
      <c r="AP20" t="s">
        <v>193</v>
      </c>
      <c r="AQ20">
        <f>MAX(Table1[Final Score])</f>
        <v>97</v>
      </c>
    </row>
    <row r="21" spans="1:46" x14ac:dyDescent="0.3">
      <c r="A21" s="1">
        <v>20</v>
      </c>
      <c r="B21" s="1" t="s">
        <v>75</v>
      </c>
      <c r="C21" s="1" t="s">
        <v>76</v>
      </c>
      <c r="D21" t="str">
        <f>_xlfn.CONCAT(Table1[[#This Row],[Frist_Name ]]," ",Table1[[#This Row],[Last_Name]])</f>
        <v>Navya Sethi</v>
      </c>
      <c r="E21" s="1">
        <v>15</v>
      </c>
      <c r="F21" s="1" t="s">
        <v>25</v>
      </c>
      <c r="G21" s="1">
        <v>10</v>
      </c>
      <c r="H21" s="1" t="s">
        <v>29</v>
      </c>
      <c r="I21" s="1">
        <v>94</v>
      </c>
      <c r="J21" s="1">
        <v>91</v>
      </c>
      <c r="K21" s="1">
        <v>88</v>
      </c>
      <c r="L21" s="1">
        <v>90</v>
      </c>
      <c r="M21" s="1">
        <v>93</v>
      </c>
      <c r="N21" s="1">
        <v>92</v>
      </c>
      <c r="O21" s="1">
        <v>22</v>
      </c>
      <c r="P21" s="1" t="s">
        <v>21</v>
      </c>
      <c r="Q21" s="1" t="s">
        <v>26</v>
      </c>
      <c r="R21" s="1" t="s">
        <v>27</v>
      </c>
      <c r="S21" s="1">
        <v>91</v>
      </c>
      <c r="T21" s="1" t="s">
        <v>28</v>
      </c>
      <c r="U21" s="1" t="s">
        <v>24</v>
      </c>
      <c r="W21">
        <f>(Table1[[#This Row],[Assignments Avg]]*0.1)+(Table1[[#This Row],[Midterm Score]]*0.3)+(Table1[[#This Row],[Final Exam Score]]*0.45)+(Table1[[#This Row],[Project Score]]*0.1)</f>
        <v>85.3</v>
      </c>
      <c r="X21" s="1" t="str">
        <f>IF(OR(Table1[[#This Row],[Attendance %]]&lt;57,Table1[[#This Row],[Final Score]]&lt;45),"At-Risk","Ok")</f>
        <v>Ok</v>
      </c>
      <c r="Y21" s="1" t="str">
        <f>IF(Table1[[#This Row],[Study Hours]]&lt;5,"Low Study","Normal")</f>
        <v>Normal</v>
      </c>
      <c r="Z21" s="1">
        <f>Table1[[#This Row],[Final Exam Score]]-Table1[[#This Row],[Midterm Score]]</f>
        <v>2</v>
      </c>
      <c r="AA21" s="1" t="str">
        <f>IF(Table1[[#This Row],[Final Score]]&gt;=80,"A",IF(Table1[[#This Row],[Final Score]]&gt;=70,"B",IF(Table1[[#This Row],[Final Score]]&gt;=60,"C",IF(Table1[[#This Row],[Final Score]]&gt;=50,"D","F"))))</f>
        <v>A</v>
      </c>
      <c r="AB21" s="1">
        <f>Table1[[#This Row],[Final Score]]+5</f>
        <v>96</v>
      </c>
      <c r="AC21" s="1" t="str">
        <f>IF(Table1[[#This Row],[Final Score]]&gt;=40,"Pass","Fail")</f>
        <v>Pass</v>
      </c>
      <c r="AD21" t="str">
        <f>IF(OR(Table1[[#This Row],[Final Score]]&gt;=80,Table1[[#This Row],[Attendance %]]&gt;=90),"High Performer","normal")</f>
        <v>High Performer</v>
      </c>
      <c r="AE21" s="1" t="str">
        <f>IF(Table1[[#This Row],[Gender]]="Male","Boy","Girl")</f>
        <v>Girl</v>
      </c>
      <c r="AF21" s="1" t="str">
        <f>IF(Table1[[#This Row],[Final Score]]&gt;90,"Certificate","No Allow Certificate")</f>
        <v>Certificate</v>
      </c>
      <c r="AG21" s="1" t="str">
        <f>IF(Table1[[#This Row],[Extracurricular]]="Yes","Active","Not Active")</f>
        <v>Active</v>
      </c>
      <c r="AH21" s="1" t="str">
        <f>IF(Table1[[#This Row],[Parent Education]]="Graduate","Educated_Parent", "Other")</f>
        <v>Other</v>
      </c>
      <c r="AI21" s="1" t="str">
        <f>IF(Table1[[#This Row],[Assignments Avg]]&lt;70,"Need Practice","Ok")</f>
        <v>Ok</v>
      </c>
      <c r="AJ21" s="1" t="str">
        <f>Table1[[#This Row],[Frist_Name ]]&amp;" -"&amp;Table1[[#This Row],[Class]]</f>
        <v>Navya -10</v>
      </c>
      <c r="AK21" s="1" t="str">
        <f>RIGHT(Table1[[#This Row],[Full Name ]],LEN(Table1[[#This Row],[Full Name ]])-SEARCH(" ",Table1[[#This Row],[Full Name ]]))</f>
        <v>Sethi</v>
      </c>
      <c r="AL21" s="1" t="str">
        <f>LEFT(Table1[[#This Row],[Full Name ]],SEARCH(" ",Table1[[#This Row],[Full Name ]]))</f>
        <v xml:space="preserve">Navya </v>
      </c>
      <c r="AM21" s="1">
        <f>LEN(Table1[[#This Row],[Frist_Name ]])</f>
        <v>5</v>
      </c>
      <c r="AN21" s="1"/>
      <c r="AO21" s="1"/>
      <c r="AP21" t="s">
        <v>194</v>
      </c>
      <c r="AQ21">
        <f>MIN(Table1[Final Score])</f>
        <v>34</v>
      </c>
    </row>
    <row r="22" spans="1:46" x14ac:dyDescent="0.3">
      <c r="A22" s="1">
        <v>21</v>
      </c>
      <c r="B22" s="1" t="s">
        <v>77</v>
      </c>
      <c r="C22" s="1" t="s">
        <v>78</v>
      </c>
      <c r="D22" t="str">
        <f>_xlfn.CONCAT(Table1[[#This Row],[Frist_Name ]]," ",Table1[[#This Row],[Last_Name]])</f>
        <v>Ayush Thakur</v>
      </c>
      <c r="E22" s="1">
        <v>16</v>
      </c>
      <c r="F22" s="1" t="s">
        <v>19</v>
      </c>
      <c r="G22" s="1">
        <v>10</v>
      </c>
      <c r="H22" s="1" t="s">
        <v>32</v>
      </c>
      <c r="I22" s="1">
        <v>86</v>
      </c>
      <c r="J22" s="1">
        <v>80</v>
      </c>
      <c r="K22" s="1">
        <v>69</v>
      </c>
      <c r="L22" s="1">
        <v>73</v>
      </c>
      <c r="M22" s="1">
        <v>77</v>
      </c>
      <c r="N22" s="1">
        <v>75</v>
      </c>
      <c r="O22" s="1">
        <v>14</v>
      </c>
      <c r="P22" s="1" t="s">
        <v>21</v>
      </c>
      <c r="Q22" s="1" t="s">
        <v>22</v>
      </c>
      <c r="R22" s="1" t="s">
        <v>23</v>
      </c>
      <c r="S22" s="1">
        <v>74</v>
      </c>
      <c r="T22" s="1" t="s">
        <v>29</v>
      </c>
      <c r="U22" s="1" t="s">
        <v>24</v>
      </c>
      <c r="W22">
        <f>(Table1[[#This Row],[Assignments Avg]]*0.1)+(Table1[[#This Row],[Midterm Score]]*0.3)+(Table1[[#This Row],[Final Exam Score]]*0.45)+(Table1[[#This Row],[Project Score]]*0.1)</f>
        <v>69.25</v>
      </c>
      <c r="X22" s="1" t="str">
        <f>IF(OR(Table1[[#This Row],[Attendance %]]&lt;57,Table1[[#This Row],[Final Score]]&lt;45),"At-Risk","Ok")</f>
        <v>Ok</v>
      </c>
      <c r="Y22" s="1" t="str">
        <f>IF(Table1[[#This Row],[Study Hours]]&lt;5,"Low Study","Normal")</f>
        <v>Normal</v>
      </c>
      <c r="Z22" s="1">
        <f>Table1[[#This Row],[Final Exam Score]]-Table1[[#This Row],[Midterm Score]]</f>
        <v>4</v>
      </c>
      <c r="AA22" s="1" t="str">
        <f>IF(Table1[[#This Row],[Final Score]]&gt;=80,"A",IF(Table1[[#This Row],[Final Score]]&gt;=70,"B",IF(Table1[[#This Row],[Final Score]]&gt;=60,"C",IF(Table1[[#This Row],[Final Score]]&gt;=50,"D","F"))))</f>
        <v>B</v>
      </c>
      <c r="AB22" s="1">
        <f>Table1[[#This Row],[Final Score]]+5</f>
        <v>79</v>
      </c>
      <c r="AC22" s="1" t="str">
        <f>IF(Table1[[#This Row],[Final Score]]&gt;=40,"Pass","Fail")</f>
        <v>Pass</v>
      </c>
      <c r="AD22" t="str">
        <f>IF(OR(Table1[[#This Row],[Final Score]]&gt;=80,Table1[[#This Row],[Attendance %]]&gt;=90),"High Performer","normal")</f>
        <v>normal</v>
      </c>
      <c r="AE22" s="1" t="str">
        <f>IF(Table1[[#This Row],[Gender]]="Male","Boy","Girl")</f>
        <v>Boy</v>
      </c>
      <c r="AF22" s="1" t="str">
        <f>IF(Table1[[#This Row],[Final Score]]&gt;90,"Certificate","No Allow Certificate")</f>
        <v>No Allow Certificate</v>
      </c>
      <c r="AG22" s="1" t="str">
        <f>IF(Table1[[#This Row],[Extracurricular]]="Yes","Active","Not Active")</f>
        <v>Active</v>
      </c>
      <c r="AH22" s="1" t="str">
        <f>IF(Table1[[#This Row],[Parent Education]]="Graduate","Educated_Parent", "Other")</f>
        <v>Educated_Parent</v>
      </c>
      <c r="AI22" s="1" t="str">
        <f>IF(Table1[[#This Row],[Assignments Avg]]&lt;70,"Need Practice","Ok")</f>
        <v>Ok</v>
      </c>
      <c r="AJ22" s="1" t="str">
        <f>Table1[[#This Row],[Frist_Name ]]&amp;" -"&amp;Table1[[#This Row],[Class]]</f>
        <v>Ayush -10</v>
      </c>
      <c r="AK22" s="1" t="str">
        <f>RIGHT(Table1[[#This Row],[Full Name ]],LEN(Table1[[#This Row],[Full Name ]])-SEARCH(" ",Table1[[#This Row],[Full Name ]]))</f>
        <v>Thakur</v>
      </c>
      <c r="AL22" s="1" t="str">
        <f>LEFT(Table1[[#This Row],[Full Name ]],SEARCH(" ",Table1[[#This Row],[Full Name ]]))</f>
        <v xml:space="preserve">Ayush </v>
      </c>
      <c r="AM22" s="1">
        <f>LEN(Table1[[#This Row],[Frist_Name ]])</f>
        <v>5</v>
      </c>
      <c r="AN22" s="1"/>
      <c r="AO22" s="1"/>
    </row>
    <row r="23" spans="1:46" x14ac:dyDescent="0.3">
      <c r="A23" s="1">
        <v>22</v>
      </c>
      <c r="B23" s="1" t="s">
        <v>79</v>
      </c>
      <c r="C23" s="1" t="s">
        <v>80</v>
      </c>
      <c r="D23" t="str">
        <f>_xlfn.CONCAT(Table1[[#This Row],[Frist_Name ]]," ",Table1[[#This Row],[Last_Name]])</f>
        <v>Tara Bansal</v>
      </c>
      <c r="E23" s="1">
        <v>15</v>
      </c>
      <c r="F23" s="1" t="s">
        <v>25</v>
      </c>
      <c r="G23" s="1">
        <v>10</v>
      </c>
      <c r="H23" s="1" t="s">
        <v>32</v>
      </c>
      <c r="I23" s="1">
        <v>79</v>
      </c>
      <c r="J23" s="1">
        <v>73</v>
      </c>
      <c r="K23" s="1">
        <v>58</v>
      </c>
      <c r="L23" s="1">
        <v>62</v>
      </c>
      <c r="M23" s="1">
        <v>67</v>
      </c>
      <c r="N23" s="1">
        <v>70</v>
      </c>
      <c r="O23" s="1">
        <v>11</v>
      </c>
      <c r="P23" s="1" t="s">
        <v>30</v>
      </c>
      <c r="Q23" s="1" t="s">
        <v>22</v>
      </c>
      <c r="R23" s="1" t="s">
        <v>23</v>
      </c>
      <c r="S23" s="1">
        <v>65</v>
      </c>
      <c r="T23" s="1" t="s">
        <v>32</v>
      </c>
      <c r="U23" s="1" t="s">
        <v>24</v>
      </c>
      <c r="W23">
        <f>(Table1[[#This Row],[Assignments Avg]]*0.1)+(Table1[[#This Row],[Midterm Score]]*0.3)+(Table1[[#This Row],[Final Exam Score]]*0.45)+(Table1[[#This Row],[Project Score]]*0.1)</f>
        <v>59.300000000000004</v>
      </c>
      <c r="X23" s="1" t="str">
        <f>IF(OR(Table1[[#This Row],[Attendance %]]&lt;57,Table1[[#This Row],[Final Score]]&lt;45),"At-Risk","Ok")</f>
        <v>Ok</v>
      </c>
      <c r="Y23" s="1" t="str">
        <f>IF(Table1[[#This Row],[Study Hours]]&lt;5,"Low Study","Normal")</f>
        <v>Normal</v>
      </c>
      <c r="Z23" s="1">
        <f>Table1[[#This Row],[Final Exam Score]]-Table1[[#This Row],[Midterm Score]]</f>
        <v>4</v>
      </c>
      <c r="AA23" s="1" t="str">
        <f>IF(Table1[[#This Row],[Final Score]]&gt;=80,"A",IF(Table1[[#This Row],[Final Score]]&gt;=70,"B",IF(Table1[[#This Row],[Final Score]]&gt;=60,"C",IF(Table1[[#This Row],[Final Score]]&gt;=50,"D","F"))))</f>
        <v>C</v>
      </c>
      <c r="AB23" s="1">
        <f>Table1[[#This Row],[Final Score]]+5</f>
        <v>70</v>
      </c>
      <c r="AC23" s="1" t="str">
        <f>IF(Table1[[#This Row],[Final Score]]&gt;=40,"Pass","Fail")</f>
        <v>Pass</v>
      </c>
      <c r="AD23" t="str">
        <f>IF(OR(Table1[[#This Row],[Final Score]]&gt;=80,Table1[[#This Row],[Attendance %]]&gt;=90),"High Performer","normal")</f>
        <v>normal</v>
      </c>
      <c r="AE23" s="1" t="str">
        <f>IF(Table1[[#This Row],[Gender]]="Male","Boy","Girl")</f>
        <v>Girl</v>
      </c>
      <c r="AF23" s="1" t="str">
        <f>IF(Table1[[#This Row],[Final Score]]&gt;90,"Certificate","No Allow Certificate")</f>
        <v>No Allow Certificate</v>
      </c>
      <c r="AG23" s="1" t="str">
        <f>IF(Table1[[#This Row],[Extracurricular]]="Yes","Active","Not Active")</f>
        <v>Not Active</v>
      </c>
      <c r="AH23" s="1" t="str">
        <f>IF(Table1[[#This Row],[Parent Education]]="Graduate","Educated_Parent", "Other")</f>
        <v>Educated_Parent</v>
      </c>
      <c r="AI23" s="1" t="str">
        <f>IF(Table1[[#This Row],[Assignments Avg]]&lt;70,"Need Practice","Ok")</f>
        <v>Ok</v>
      </c>
      <c r="AJ23" s="1" t="str">
        <f>Table1[[#This Row],[Frist_Name ]]&amp;" -"&amp;Table1[[#This Row],[Class]]</f>
        <v>Tara -10</v>
      </c>
      <c r="AK23" s="1" t="str">
        <f>RIGHT(Table1[[#This Row],[Full Name ]],LEN(Table1[[#This Row],[Full Name ]])-SEARCH(" ",Table1[[#This Row],[Full Name ]]))</f>
        <v>Bansal</v>
      </c>
      <c r="AL23" s="1" t="str">
        <f>LEFT(Table1[[#This Row],[Full Name ]],SEARCH(" ",Table1[[#This Row],[Full Name ]]))</f>
        <v xml:space="preserve">Tara </v>
      </c>
      <c r="AM23" s="1">
        <f>LEN(Table1[[#This Row],[Frist_Name ]])</f>
        <v>4</v>
      </c>
      <c r="AN23" s="1"/>
      <c r="AO23" s="1"/>
    </row>
    <row r="24" spans="1:46" x14ac:dyDescent="0.3">
      <c r="A24" s="1">
        <v>23</v>
      </c>
      <c r="B24" s="1" t="s">
        <v>81</v>
      </c>
      <c r="C24" s="1" t="s">
        <v>82</v>
      </c>
      <c r="D24" t="str">
        <f>_xlfn.CONCAT(Table1[[#This Row],[Frist_Name ]]," ",Table1[[#This Row],[Last_Name]])</f>
        <v>Yuvaan Jain</v>
      </c>
      <c r="E24" s="1">
        <v>16</v>
      </c>
      <c r="F24" s="1" t="s">
        <v>19</v>
      </c>
      <c r="G24" s="1">
        <v>10</v>
      </c>
      <c r="H24" s="1" t="s">
        <v>34</v>
      </c>
      <c r="I24" s="1">
        <v>63</v>
      </c>
      <c r="J24" s="1">
        <v>57</v>
      </c>
      <c r="K24" s="1">
        <v>40</v>
      </c>
      <c r="L24" s="1">
        <v>36</v>
      </c>
      <c r="M24" s="1">
        <v>45</v>
      </c>
      <c r="N24" s="1">
        <v>48</v>
      </c>
      <c r="O24" s="1">
        <v>5</v>
      </c>
      <c r="P24" s="1" t="s">
        <v>30</v>
      </c>
      <c r="Q24" s="1" t="s">
        <v>31</v>
      </c>
      <c r="R24" s="1" t="s">
        <v>33</v>
      </c>
      <c r="S24" s="1">
        <v>40</v>
      </c>
      <c r="T24" s="1" t="s">
        <v>34</v>
      </c>
      <c r="U24" s="1" t="s">
        <v>35</v>
      </c>
      <c r="W24">
        <f>(Table1[[#This Row],[Assignments Avg]]*0.1)+(Table1[[#This Row],[Midterm Score]]*0.3)+(Table1[[#This Row],[Final Exam Score]]*0.45)+(Table1[[#This Row],[Project Score]]*0.1)</f>
        <v>38.4</v>
      </c>
      <c r="X24" s="1" t="str">
        <f>IF(OR(Table1[[#This Row],[Attendance %]]&lt;57,Table1[[#This Row],[Final Score]]&lt;45),"At-Risk","Ok")</f>
        <v>At-Risk</v>
      </c>
      <c r="Y24" s="1" t="str">
        <f>IF(Table1[[#This Row],[Study Hours]]&lt;5,"Low Study","Normal")</f>
        <v>Normal</v>
      </c>
      <c r="Z24" s="1">
        <f>Table1[[#This Row],[Final Exam Score]]-Table1[[#This Row],[Midterm Score]]</f>
        <v>-4</v>
      </c>
      <c r="AA24" s="1" t="str">
        <f>IF(Table1[[#This Row],[Final Score]]&gt;=80,"A",IF(Table1[[#This Row],[Final Score]]&gt;=70,"B",IF(Table1[[#This Row],[Final Score]]&gt;=60,"C",IF(Table1[[#This Row],[Final Score]]&gt;=50,"D","F"))))</f>
        <v>F</v>
      </c>
      <c r="AB24" s="1">
        <f>Table1[[#This Row],[Final Score]]+5</f>
        <v>45</v>
      </c>
      <c r="AC24" s="1" t="str">
        <f>IF(Table1[[#This Row],[Final Score]]&gt;=40,"Pass","Fail")</f>
        <v>Pass</v>
      </c>
      <c r="AD24" t="str">
        <f>IF(OR(Table1[[#This Row],[Final Score]]&gt;=80,Table1[[#This Row],[Attendance %]]&gt;=90),"High Performer","normal")</f>
        <v>normal</v>
      </c>
      <c r="AE24" s="1" t="str">
        <f>IF(Table1[[#This Row],[Gender]]="Male","Boy","Girl")</f>
        <v>Boy</v>
      </c>
      <c r="AF24" s="1" t="str">
        <f>IF(Table1[[#This Row],[Final Score]]&gt;90,"Certificate","No Allow Certificate")</f>
        <v>No Allow Certificate</v>
      </c>
      <c r="AG24" s="1" t="str">
        <f>IF(Table1[[#This Row],[Extracurricular]]="Yes","Active","Not Active")</f>
        <v>Not Active</v>
      </c>
      <c r="AH24" s="1" t="str">
        <f>IF(Table1[[#This Row],[Parent Education]]="Graduate","Educated_Parent", "Other")</f>
        <v>Other</v>
      </c>
      <c r="AI24" s="1" t="str">
        <f>IF(Table1[[#This Row],[Assignments Avg]]&lt;70,"Need Practice","Ok")</f>
        <v>Need Practice</v>
      </c>
      <c r="AJ24" s="1" t="str">
        <f>Table1[[#This Row],[Frist_Name ]]&amp;" -"&amp;Table1[[#This Row],[Class]]</f>
        <v>Yuvaan -10</v>
      </c>
      <c r="AK24" s="1" t="str">
        <f>RIGHT(Table1[[#This Row],[Full Name ]],LEN(Table1[[#This Row],[Full Name ]])-SEARCH(" ",Table1[[#This Row],[Full Name ]]))</f>
        <v>Jain</v>
      </c>
      <c r="AL24" s="1" t="str">
        <f>LEFT(Table1[[#This Row],[Full Name ]],SEARCH(" ",Table1[[#This Row],[Full Name ]]))</f>
        <v xml:space="preserve">Yuvaan </v>
      </c>
      <c r="AM24" s="1">
        <f>LEN(Table1[[#This Row],[Frist_Name ]])</f>
        <v>6</v>
      </c>
      <c r="AN24" s="1"/>
      <c r="AO24" s="1"/>
      <c r="AP24" s="5" t="s">
        <v>238</v>
      </c>
      <c r="AQ24" s="5"/>
      <c r="AR24" s="5"/>
      <c r="AS24" s="5"/>
      <c r="AT24" s="5"/>
    </row>
    <row r="25" spans="1:46" x14ac:dyDescent="0.3">
      <c r="A25" s="1">
        <v>24</v>
      </c>
      <c r="B25" s="1" t="s">
        <v>83</v>
      </c>
      <c r="C25" s="1" t="s">
        <v>84</v>
      </c>
      <c r="D25" t="str">
        <f>_xlfn.CONCAT(Table1[[#This Row],[Frist_Name ]]," ",Table1[[#This Row],[Last_Name]])</f>
        <v>Anvi Agarwal</v>
      </c>
      <c r="E25" s="1">
        <v>15</v>
      </c>
      <c r="F25" s="1" t="s">
        <v>25</v>
      </c>
      <c r="G25" s="1">
        <v>10</v>
      </c>
      <c r="H25" s="1" t="s">
        <v>34</v>
      </c>
      <c r="I25" s="1">
        <v>91</v>
      </c>
      <c r="J25" s="1">
        <v>89</v>
      </c>
      <c r="K25" s="1">
        <v>83</v>
      </c>
      <c r="L25" s="1">
        <v>86</v>
      </c>
      <c r="M25" s="1">
        <v>88</v>
      </c>
      <c r="N25" s="1">
        <v>90</v>
      </c>
      <c r="O25" s="1">
        <v>19</v>
      </c>
      <c r="P25" s="1" t="s">
        <v>21</v>
      </c>
      <c r="Q25" s="1" t="s">
        <v>26</v>
      </c>
      <c r="R25" s="1" t="s">
        <v>27</v>
      </c>
      <c r="S25" s="1">
        <v>87</v>
      </c>
      <c r="T25" s="1" t="s">
        <v>20</v>
      </c>
      <c r="U25" s="1" t="s">
        <v>24</v>
      </c>
      <c r="W25">
        <f>(Table1[[#This Row],[Assignments Avg]]*0.1)+(Table1[[#This Row],[Midterm Score]]*0.3)+(Table1[[#This Row],[Final Exam Score]]*0.45)+(Table1[[#This Row],[Project Score]]*0.1)</f>
        <v>81.3</v>
      </c>
      <c r="X25" s="1" t="str">
        <f>IF(OR(Table1[[#This Row],[Attendance %]]&lt;57,Table1[[#This Row],[Final Score]]&lt;45),"At-Risk","Ok")</f>
        <v>Ok</v>
      </c>
      <c r="Y25" s="1" t="str">
        <f>IF(Table1[[#This Row],[Study Hours]]&lt;5,"Low Study","Normal")</f>
        <v>Normal</v>
      </c>
      <c r="Z25" s="1">
        <f>Table1[[#This Row],[Final Exam Score]]-Table1[[#This Row],[Midterm Score]]</f>
        <v>3</v>
      </c>
      <c r="AA25" s="1" t="str">
        <f>IF(Table1[[#This Row],[Final Score]]&gt;=80,"A",IF(Table1[[#This Row],[Final Score]]&gt;=70,"B",IF(Table1[[#This Row],[Final Score]]&gt;=60,"C",IF(Table1[[#This Row],[Final Score]]&gt;=50,"D","F"))))</f>
        <v>A</v>
      </c>
      <c r="AB25" s="1">
        <f>Table1[[#This Row],[Final Score]]+5</f>
        <v>92</v>
      </c>
      <c r="AC25" s="1" t="str">
        <f>IF(Table1[[#This Row],[Final Score]]&gt;=40,"Pass","Fail")</f>
        <v>Pass</v>
      </c>
      <c r="AD25" t="str">
        <f>IF(OR(Table1[[#This Row],[Final Score]]&gt;=80,Table1[[#This Row],[Attendance %]]&gt;=90),"High Performer","normal")</f>
        <v>High Performer</v>
      </c>
      <c r="AE25" s="1" t="str">
        <f>IF(Table1[[#This Row],[Gender]]="Male","Boy","Girl")</f>
        <v>Girl</v>
      </c>
      <c r="AF25" s="1" t="str">
        <f>IF(Table1[[#This Row],[Final Score]]&gt;90,"Certificate","No Allow Certificate")</f>
        <v>No Allow Certificate</v>
      </c>
      <c r="AG25" s="1" t="str">
        <f>IF(Table1[[#This Row],[Extracurricular]]="Yes","Active","Not Active")</f>
        <v>Active</v>
      </c>
      <c r="AH25" s="1" t="str">
        <f>IF(Table1[[#This Row],[Parent Education]]="Graduate","Educated_Parent", "Other")</f>
        <v>Other</v>
      </c>
      <c r="AI25" s="1" t="str">
        <f>IF(Table1[[#This Row],[Assignments Avg]]&lt;70,"Need Practice","Ok")</f>
        <v>Ok</v>
      </c>
      <c r="AJ25" s="1" t="str">
        <f>Table1[[#This Row],[Frist_Name ]]&amp;" -"&amp;Table1[[#This Row],[Class]]</f>
        <v>Anvi -10</v>
      </c>
      <c r="AK25" s="1" t="str">
        <f>RIGHT(Table1[[#This Row],[Full Name ]],LEN(Table1[[#This Row],[Full Name ]])-SEARCH(" ",Table1[[#This Row],[Full Name ]]))</f>
        <v>Agarwal</v>
      </c>
      <c r="AL25" s="1" t="str">
        <f>LEFT(Table1[[#This Row],[Full Name ]],SEARCH(" ",Table1[[#This Row],[Full Name ]]))</f>
        <v xml:space="preserve">Anvi </v>
      </c>
      <c r="AM25" s="1">
        <f>LEN(Table1[[#This Row],[Frist_Name ]])</f>
        <v>4</v>
      </c>
      <c r="AN25" s="1"/>
      <c r="AO25" s="1"/>
    </row>
    <row r="26" spans="1:46" x14ac:dyDescent="0.3">
      <c r="A26" s="1">
        <v>25</v>
      </c>
      <c r="B26" s="1" t="s">
        <v>85</v>
      </c>
      <c r="C26" s="1" t="s">
        <v>86</v>
      </c>
      <c r="D26" t="str">
        <f>_xlfn.CONCAT(Table1[[#This Row],[Frist_Name ]]," ",Table1[[#This Row],[Last_Name]])</f>
        <v>Manav Saxena</v>
      </c>
      <c r="E26" s="1">
        <v>16</v>
      </c>
      <c r="F26" s="1" t="s">
        <v>19</v>
      </c>
      <c r="G26" s="1">
        <v>11</v>
      </c>
      <c r="H26" s="1" t="s">
        <v>20</v>
      </c>
      <c r="I26" s="1">
        <v>85</v>
      </c>
      <c r="J26" s="1">
        <v>77</v>
      </c>
      <c r="K26" s="1">
        <v>72</v>
      </c>
      <c r="L26" s="1">
        <v>68</v>
      </c>
      <c r="M26" s="1">
        <v>74</v>
      </c>
      <c r="N26" s="1">
        <v>76</v>
      </c>
      <c r="O26" s="1">
        <v>13</v>
      </c>
      <c r="P26" s="1" t="s">
        <v>21</v>
      </c>
      <c r="Q26" s="1" t="s">
        <v>22</v>
      </c>
      <c r="R26" s="1" t="s">
        <v>23</v>
      </c>
      <c r="S26" s="1">
        <v>72</v>
      </c>
      <c r="T26" s="1" t="s">
        <v>29</v>
      </c>
      <c r="U26" s="1" t="s">
        <v>24</v>
      </c>
      <c r="W26">
        <f>(Table1[[#This Row],[Assignments Avg]]*0.1)+(Table1[[#This Row],[Midterm Score]]*0.3)+(Table1[[#This Row],[Final Exam Score]]*0.45)+(Table1[[#This Row],[Project Score]]*0.1)</f>
        <v>67.3</v>
      </c>
      <c r="X26" s="1" t="str">
        <f>IF(OR(Table1[[#This Row],[Attendance %]]&lt;57,Table1[[#This Row],[Final Score]]&lt;45),"At-Risk","Ok")</f>
        <v>Ok</v>
      </c>
      <c r="Y26" s="1" t="str">
        <f>IF(Table1[[#This Row],[Study Hours]]&lt;5,"Low Study","Normal")</f>
        <v>Normal</v>
      </c>
      <c r="Z26" s="1">
        <f>Table1[[#This Row],[Final Exam Score]]-Table1[[#This Row],[Midterm Score]]</f>
        <v>-4</v>
      </c>
      <c r="AA26" s="1" t="str">
        <f>IF(Table1[[#This Row],[Final Score]]&gt;=80,"A",IF(Table1[[#This Row],[Final Score]]&gt;=70,"B",IF(Table1[[#This Row],[Final Score]]&gt;=60,"C",IF(Table1[[#This Row],[Final Score]]&gt;=50,"D","F"))))</f>
        <v>B</v>
      </c>
      <c r="AB26" s="1">
        <f>Table1[[#This Row],[Final Score]]+5</f>
        <v>77</v>
      </c>
      <c r="AC26" s="1" t="str">
        <f>IF(Table1[[#This Row],[Final Score]]&gt;=40,"Pass","Fail")</f>
        <v>Pass</v>
      </c>
      <c r="AD26" t="str">
        <f>IF(OR(Table1[[#This Row],[Final Score]]&gt;=80,Table1[[#This Row],[Attendance %]]&gt;=90),"High Performer","normal")</f>
        <v>normal</v>
      </c>
      <c r="AE26" s="1" t="str">
        <f>IF(Table1[[#This Row],[Gender]]="Male","Boy","Girl")</f>
        <v>Boy</v>
      </c>
      <c r="AF26" s="1" t="str">
        <f>IF(Table1[[#This Row],[Final Score]]&gt;90,"Certificate","No Allow Certificate")</f>
        <v>No Allow Certificate</v>
      </c>
      <c r="AG26" s="1" t="str">
        <f>IF(Table1[[#This Row],[Extracurricular]]="Yes","Active","Not Active")</f>
        <v>Active</v>
      </c>
      <c r="AH26" s="1" t="str">
        <f>IF(Table1[[#This Row],[Parent Education]]="Graduate","Educated_Parent", "Other")</f>
        <v>Educated_Parent</v>
      </c>
      <c r="AI26" s="1" t="str">
        <f>IF(Table1[[#This Row],[Assignments Avg]]&lt;70,"Need Practice","Ok")</f>
        <v>Ok</v>
      </c>
      <c r="AJ26" s="1" t="str">
        <f>Table1[[#This Row],[Frist_Name ]]&amp;" -"&amp;Table1[[#This Row],[Class]]</f>
        <v>Manav -11</v>
      </c>
      <c r="AK26" s="1" t="str">
        <f>RIGHT(Table1[[#This Row],[Full Name ]],LEN(Table1[[#This Row],[Full Name ]])-SEARCH(" ",Table1[[#This Row],[Full Name ]]))</f>
        <v>Saxena</v>
      </c>
      <c r="AL26" s="1" t="str">
        <f>LEFT(Table1[[#This Row],[Full Name ]],SEARCH(" ",Table1[[#This Row],[Full Name ]]))</f>
        <v xml:space="preserve">Manav </v>
      </c>
      <c r="AM26" s="1">
        <f>LEN(Table1[[#This Row],[Frist_Name ]])</f>
        <v>5</v>
      </c>
      <c r="AN26" s="1"/>
      <c r="AO26" s="1"/>
      <c r="AP26" t="s">
        <v>197</v>
      </c>
      <c r="AQ26" t="s">
        <v>198</v>
      </c>
    </row>
    <row r="27" spans="1:46" x14ac:dyDescent="0.3">
      <c r="A27" s="1">
        <v>26</v>
      </c>
      <c r="B27" s="1" t="s">
        <v>87</v>
      </c>
      <c r="C27" s="1" t="s">
        <v>88</v>
      </c>
      <c r="D27" t="str">
        <f>_xlfn.CONCAT(Table1[[#This Row],[Frist_Name ]]," ",Table1[[#This Row],[Last_Name]])</f>
        <v>Riya Menon</v>
      </c>
      <c r="E27" s="1">
        <v>15</v>
      </c>
      <c r="F27" s="1" t="s">
        <v>25</v>
      </c>
      <c r="G27" s="1">
        <v>10</v>
      </c>
      <c r="H27" s="1" t="s">
        <v>20</v>
      </c>
      <c r="I27" s="1">
        <v>74</v>
      </c>
      <c r="J27" s="1">
        <v>68</v>
      </c>
      <c r="K27" s="1">
        <v>51</v>
      </c>
      <c r="L27" s="1">
        <v>55</v>
      </c>
      <c r="M27" s="1">
        <v>61</v>
      </c>
      <c r="N27" s="1">
        <v>63</v>
      </c>
      <c r="O27" s="1">
        <v>8</v>
      </c>
      <c r="P27" s="1" t="s">
        <v>30</v>
      </c>
      <c r="Q27" s="1" t="s">
        <v>31</v>
      </c>
      <c r="R27" s="1" t="s">
        <v>23</v>
      </c>
      <c r="S27" s="1">
        <v>57</v>
      </c>
      <c r="T27" s="1" t="s">
        <v>32</v>
      </c>
      <c r="U27" s="1" t="s">
        <v>24</v>
      </c>
      <c r="W27">
        <f>(Table1[[#This Row],[Assignments Avg]]*0.1)+(Table1[[#This Row],[Midterm Score]]*0.3)+(Table1[[#This Row],[Final Exam Score]]*0.45)+(Table1[[#This Row],[Project Score]]*0.1)</f>
        <v>52.95</v>
      </c>
      <c r="X27" s="1" t="str">
        <f>IF(OR(Table1[[#This Row],[Attendance %]]&lt;57,Table1[[#This Row],[Final Score]]&lt;45),"At-Risk","Ok")</f>
        <v>Ok</v>
      </c>
      <c r="Y27" s="1" t="str">
        <f>IF(Table1[[#This Row],[Study Hours]]&lt;5,"Low Study","Normal")</f>
        <v>Normal</v>
      </c>
      <c r="Z27" s="1">
        <f>Table1[[#This Row],[Final Exam Score]]-Table1[[#This Row],[Midterm Score]]</f>
        <v>4</v>
      </c>
      <c r="AA27" s="1" t="str">
        <f>IF(Table1[[#This Row],[Final Score]]&gt;=80,"A",IF(Table1[[#This Row],[Final Score]]&gt;=70,"B",IF(Table1[[#This Row],[Final Score]]&gt;=60,"C",IF(Table1[[#This Row],[Final Score]]&gt;=50,"D","F"))))</f>
        <v>D</v>
      </c>
      <c r="AB27" s="1">
        <f>Table1[[#This Row],[Final Score]]+5</f>
        <v>62</v>
      </c>
      <c r="AC27" s="1" t="str">
        <f>IF(Table1[[#This Row],[Final Score]]&gt;=40,"Pass","Fail")</f>
        <v>Pass</v>
      </c>
      <c r="AD27" t="str">
        <f>IF(OR(Table1[[#This Row],[Final Score]]&gt;=80,Table1[[#This Row],[Attendance %]]&gt;=90),"High Performer","normal")</f>
        <v>normal</v>
      </c>
      <c r="AE27" s="1" t="str">
        <f>IF(Table1[[#This Row],[Gender]]="Male","Boy","Girl")</f>
        <v>Girl</v>
      </c>
      <c r="AF27" s="1" t="str">
        <f>IF(Table1[[#This Row],[Final Score]]&gt;90,"Certificate","No Allow Certificate")</f>
        <v>No Allow Certificate</v>
      </c>
      <c r="AG27" s="1" t="str">
        <f>IF(Table1[[#This Row],[Extracurricular]]="Yes","Active","Not Active")</f>
        <v>Not Active</v>
      </c>
      <c r="AH27" s="1" t="str">
        <f>IF(Table1[[#This Row],[Parent Education]]="Graduate","Educated_Parent", "Other")</f>
        <v>Other</v>
      </c>
      <c r="AI27" s="1" t="str">
        <f>IF(Table1[[#This Row],[Assignments Avg]]&lt;70,"Need Practice","Ok")</f>
        <v>Need Practice</v>
      </c>
      <c r="AJ27" s="1" t="str">
        <f>Table1[[#This Row],[Frist_Name ]]&amp;" -"&amp;Table1[[#This Row],[Class]]</f>
        <v>Riya -10</v>
      </c>
      <c r="AK27" s="1" t="str">
        <f>RIGHT(Table1[[#This Row],[Full Name ]],LEN(Table1[[#This Row],[Full Name ]])-SEARCH(" ",Table1[[#This Row],[Full Name ]]))</f>
        <v>Menon</v>
      </c>
      <c r="AL27" s="1" t="str">
        <f>LEFT(Table1[[#This Row],[Full Name ]],SEARCH(" ",Table1[[#This Row],[Full Name ]]))</f>
        <v xml:space="preserve">Riya </v>
      </c>
      <c r="AM27" s="1">
        <f>LEN(Table1[[#This Row],[Frist_Name ]])</f>
        <v>4</v>
      </c>
      <c r="AN27" s="1"/>
      <c r="AO27" s="1"/>
      <c r="AP27">
        <v>4</v>
      </c>
      <c r="AQ27">
        <f>VLOOKUP(AP27,Table1[],12)</f>
        <v>79</v>
      </c>
    </row>
    <row r="28" spans="1:46" x14ac:dyDescent="0.3">
      <c r="A28" s="1">
        <v>27</v>
      </c>
      <c r="B28" s="1" t="s">
        <v>89</v>
      </c>
      <c r="C28" s="1" t="s">
        <v>90</v>
      </c>
      <c r="D28" t="str">
        <f>_xlfn.CONCAT(Table1[[#This Row],[Frist_Name ]]," ",Table1[[#This Row],[Last_Name]])</f>
        <v>Harsh Vora</v>
      </c>
      <c r="E28" s="1">
        <v>16</v>
      </c>
      <c r="F28" s="1" t="s">
        <v>19</v>
      </c>
      <c r="G28" s="1">
        <v>11</v>
      </c>
      <c r="H28" s="1" t="s">
        <v>29</v>
      </c>
      <c r="I28" s="1">
        <v>69</v>
      </c>
      <c r="J28" s="1">
        <v>60</v>
      </c>
      <c r="K28" s="1">
        <v>43</v>
      </c>
      <c r="L28" s="1">
        <v>39</v>
      </c>
      <c r="M28" s="1">
        <v>49</v>
      </c>
      <c r="N28" s="1">
        <v>52</v>
      </c>
      <c r="O28" s="1">
        <v>6</v>
      </c>
      <c r="P28" s="1" t="s">
        <v>30</v>
      </c>
      <c r="Q28" s="1" t="s">
        <v>31</v>
      </c>
      <c r="R28" s="1" t="s">
        <v>33</v>
      </c>
      <c r="S28" s="1">
        <v>44</v>
      </c>
      <c r="T28" s="1" t="s">
        <v>34</v>
      </c>
      <c r="U28" s="1" t="s">
        <v>35</v>
      </c>
      <c r="W28">
        <f>(Table1[[#This Row],[Assignments Avg]]*0.1)+(Table1[[#This Row],[Midterm Score]]*0.3)+(Table1[[#This Row],[Final Exam Score]]*0.45)+(Table1[[#This Row],[Project Score]]*0.1)</f>
        <v>41.35</v>
      </c>
      <c r="X28" s="1" t="str">
        <f>IF(OR(Table1[[#This Row],[Attendance %]]&lt;57,Table1[[#This Row],[Final Score]]&lt;45),"At-Risk","Ok")</f>
        <v>At-Risk</v>
      </c>
      <c r="Y28" s="1" t="str">
        <f>IF(Table1[[#This Row],[Study Hours]]&lt;5,"Low Study","Normal")</f>
        <v>Normal</v>
      </c>
      <c r="Z28" s="1">
        <f>Table1[[#This Row],[Final Exam Score]]-Table1[[#This Row],[Midterm Score]]</f>
        <v>-4</v>
      </c>
      <c r="AA28" s="1" t="str">
        <f>IF(Table1[[#This Row],[Final Score]]&gt;=80,"A",IF(Table1[[#This Row],[Final Score]]&gt;=70,"B",IF(Table1[[#This Row],[Final Score]]&gt;=60,"C",IF(Table1[[#This Row],[Final Score]]&gt;=50,"D","F"))))</f>
        <v>F</v>
      </c>
      <c r="AB28" s="1">
        <f>Table1[[#This Row],[Final Score]]+5</f>
        <v>49</v>
      </c>
      <c r="AC28" s="1" t="str">
        <f>IF(Table1[[#This Row],[Final Score]]&gt;=40,"Pass","Fail")</f>
        <v>Pass</v>
      </c>
      <c r="AD28" t="str">
        <f>IF(OR(Table1[[#This Row],[Final Score]]&gt;=80,Table1[[#This Row],[Attendance %]]&gt;=90),"High Performer","normal")</f>
        <v>normal</v>
      </c>
      <c r="AE28" s="1" t="str">
        <f>IF(Table1[[#This Row],[Gender]]="Male","Boy","Girl")</f>
        <v>Boy</v>
      </c>
      <c r="AF28" s="1" t="str">
        <f>IF(Table1[[#This Row],[Final Score]]&gt;90,"Certificate","No Allow Certificate")</f>
        <v>No Allow Certificate</v>
      </c>
      <c r="AG28" s="1" t="str">
        <f>IF(Table1[[#This Row],[Extracurricular]]="Yes","Active","Not Active")</f>
        <v>Not Active</v>
      </c>
      <c r="AH28" s="1" t="str">
        <f>IF(Table1[[#This Row],[Parent Education]]="Graduate","Educated_Parent", "Other")</f>
        <v>Other</v>
      </c>
      <c r="AI28" s="1" t="str">
        <f>IF(Table1[[#This Row],[Assignments Avg]]&lt;70,"Need Practice","Ok")</f>
        <v>Need Practice</v>
      </c>
      <c r="AJ28" s="1" t="str">
        <f>Table1[[#This Row],[Frist_Name ]]&amp;" -"&amp;Table1[[#This Row],[Class]]</f>
        <v>Harsh -11</v>
      </c>
      <c r="AK28" s="1" t="str">
        <f>RIGHT(Table1[[#This Row],[Full Name ]],LEN(Table1[[#This Row],[Full Name ]])-SEARCH(" ",Table1[[#This Row],[Full Name ]]))</f>
        <v>Vora</v>
      </c>
      <c r="AL28" s="1" t="str">
        <f>LEFT(Table1[[#This Row],[Full Name ]],SEARCH(" ",Table1[[#This Row],[Full Name ]]))</f>
        <v xml:space="preserve">Harsh </v>
      </c>
      <c r="AM28" s="1">
        <f>LEN(Table1[[#This Row],[Frist_Name ]])</f>
        <v>5</v>
      </c>
      <c r="AN28" s="1"/>
      <c r="AO28" s="1"/>
    </row>
    <row r="29" spans="1:46" x14ac:dyDescent="0.3">
      <c r="A29" s="1">
        <v>28</v>
      </c>
      <c r="B29" s="1" t="s">
        <v>91</v>
      </c>
      <c r="C29" s="1" t="s">
        <v>92</v>
      </c>
      <c r="D29" t="str">
        <f>_xlfn.CONCAT(Table1[[#This Row],[Frist_Name ]]," ",Table1[[#This Row],[Last_Name]])</f>
        <v>Shanaya Arora</v>
      </c>
      <c r="E29" s="1">
        <v>15</v>
      </c>
      <c r="F29" s="1" t="s">
        <v>25</v>
      </c>
      <c r="G29" s="1">
        <v>11</v>
      </c>
      <c r="H29" s="1" t="s">
        <v>29</v>
      </c>
      <c r="I29" s="1">
        <v>96</v>
      </c>
      <c r="J29" s="1">
        <v>93</v>
      </c>
      <c r="K29" s="1">
        <v>90</v>
      </c>
      <c r="L29" s="1">
        <v>95</v>
      </c>
      <c r="M29" s="1">
        <v>92</v>
      </c>
      <c r="N29" s="1">
        <v>94</v>
      </c>
      <c r="O29" s="1">
        <v>23</v>
      </c>
      <c r="P29" s="1" t="s">
        <v>21</v>
      </c>
      <c r="Q29" s="1" t="s">
        <v>26</v>
      </c>
      <c r="R29" s="1" t="s">
        <v>27</v>
      </c>
      <c r="S29" s="1">
        <v>93</v>
      </c>
      <c r="T29" s="1" t="s">
        <v>28</v>
      </c>
      <c r="U29" s="1" t="s">
        <v>24</v>
      </c>
      <c r="W29">
        <f>(Table1[[#This Row],[Assignments Avg]]*0.1)+(Table1[[#This Row],[Midterm Score]]*0.3)+(Table1[[#This Row],[Final Exam Score]]*0.45)+(Table1[[#This Row],[Project Score]]*0.1)</f>
        <v>88.25</v>
      </c>
      <c r="X29" s="1" t="str">
        <f>IF(OR(Table1[[#This Row],[Attendance %]]&lt;57,Table1[[#This Row],[Final Score]]&lt;45),"At-Risk","Ok")</f>
        <v>Ok</v>
      </c>
      <c r="Y29" s="1" t="str">
        <f>IF(Table1[[#This Row],[Study Hours]]&lt;5,"Low Study","Normal")</f>
        <v>Normal</v>
      </c>
      <c r="Z29" s="1">
        <f>Table1[[#This Row],[Final Exam Score]]-Table1[[#This Row],[Midterm Score]]</f>
        <v>5</v>
      </c>
      <c r="AA29" s="1" t="str">
        <f>IF(Table1[[#This Row],[Final Score]]&gt;=80,"A",IF(Table1[[#This Row],[Final Score]]&gt;=70,"B",IF(Table1[[#This Row],[Final Score]]&gt;=60,"C",IF(Table1[[#This Row],[Final Score]]&gt;=50,"D","F"))))</f>
        <v>A</v>
      </c>
      <c r="AB29" s="1">
        <f>Table1[[#This Row],[Final Score]]+5</f>
        <v>98</v>
      </c>
      <c r="AC29" s="1" t="str">
        <f>IF(Table1[[#This Row],[Final Score]]&gt;=40,"Pass","Fail")</f>
        <v>Pass</v>
      </c>
      <c r="AD29" t="str">
        <f>IF(OR(Table1[[#This Row],[Final Score]]&gt;=80,Table1[[#This Row],[Attendance %]]&gt;=90),"High Performer","normal")</f>
        <v>High Performer</v>
      </c>
      <c r="AE29" s="1" t="str">
        <f>IF(Table1[[#This Row],[Gender]]="Male","Boy","Girl")</f>
        <v>Girl</v>
      </c>
      <c r="AF29" s="1" t="str">
        <f>IF(Table1[[#This Row],[Final Score]]&gt;90,"Certificate","No Allow Certificate")</f>
        <v>Certificate</v>
      </c>
      <c r="AG29" s="1" t="str">
        <f>IF(Table1[[#This Row],[Extracurricular]]="Yes","Active","Not Active")</f>
        <v>Active</v>
      </c>
      <c r="AH29" s="1" t="str">
        <f>IF(Table1[[#This Row],[Parent Education]]="Graduate","Educated_Parent", "Other")</f>
        <v>Other</v>
      </c>
      <c r="AI29" s="1" t="str">
        <f>IF(Table1[[#This Row],[Assignments Avg]]&lt;70,"Need Practice","Ok")</f>
        <v>Ok</v>
      </c>
      <c r="AJ29" s="1" t="str">
        <f>Table1[[#This Row],[Frist_Name ]]&amp;" -"&amp;Table1[[#This Row],[Class]]</f>
        <v>Shanaya -11</v>
      </c>
      <c r="AK29" s="1" t="str">
        <f>RIGHT(Table1[[#This Row],[Full Name ]],LEN(Table1[[#This Row],[Full Name ]])-SEARCH(" ",Table1[[#This Row],[Full Name ]]))</f>
        <v>Arora</v>
      </c>
      <c r="AL29" s="1" t="str">
        <f>LEFT(Table1[[#This Row],[Full Name ]],SEARCH(" ",Table1[[#This Row],[Full Name ]]))</f>
        <v xml:space="preserve">Shanaya </v>
      </c>
      <c r="AM29" s="1">
        <f>LEN(Table1[[#This Row],[Frist_Name ]])</f>
        <v>7</v>
      </c>
      <c r="AN29" s="1"/>
      <c r="AO29" s="1"/>
      <c r="AP29" s="5" t="s">
        <v>199</v>
      </c>
      <c r="AQ29" s="5"/>
      <c r="AR29" s="5"/>
      <c r="AS29" s="5"/>
      <c r="AT29" s="5"/>
    </row>
    <row r="30" spans="1:46" x14ac:dyDescent="0.3">
      <c r="A30" s="1">
        <v>29</v>
      </c>
      <c r="B30" s="1" t="s">
        <v>93</v>
      </c>
      <c r="C30" s="1" t="s">
        <v>94</v>
      </c>
      <c r="D30" t="str">
        <f>_xlfn.CONCAT(Table1[[#This Row],[Frist_Name ]]," ",Table1[[#This Row],[Last_Name]])</f>
        <v>Om Patil</v>
      </c>
      <c r="E30" s="1">
        <v>16</v>
      </c>
      <c r="F30" s="1" t="s">
        <v>19</v>
      </c>
      <c r="G30" s="1">
        <v>10</v>
      </c>
      <c r="H30" s="1" t="s">
        <v>32</v>
      </c>
      <c r="I30" s="1">
        <v>88</v>
      </c>
      <c r="J30" s="1">
        <v>83</v>
      </c>
      <c r="K30" s="1">
        <v>75</v>
      </c>
      <c r="L30" s="1">
        <v>79</v>
      </c>
      <c r="M30" s="1">
        <v>81</v>
      </c>
      <c r="N30" s="1">
        <v>80</v>
      </c>
      <c r="O30" s="1">
        <v>16</v>
      </c>
      <c r="P30" s="1" t="s">
        <v>21</v>
      </c>
      <c r="Q30" s="1" t="s">
        <v>22</v>
      </c>
      <c r="R30" s="1" t="s">
        <v>23</v>
      </c>
      <c r="S30" s="1">
        <v>79</v>
      </c>
      <c r="T30" s="1" t="s">
        <v>29</v>
      </c>
      <c r="U30" s="1" t="s">
        <v>24</v>
      </c>
      <c r="W30">
        <f>(Table1[[#This Row],[Assignments Avg]]*0.1)+(Table1[[#This Row],[Midterm Score]]*0.3)+(Table1[[#This Row],[Final Exam Score]]*0.45)+(Table1[[#This Row],[Project Score]]*0.1)</f>
        <v>74.45</v>
      </c>
      <c r="X30" s="1" t="str">
        <f>IF(OR(Table1[[#This Row],[Attendance %]]&lt;57,Table1[[#This Row],[Final Score]]&lt;45),"At-Risk","Ok")</f>
        <v>Ok</v>
      </c>
      <c r="Y30" s="1" t="str">
        <f>IF(Table1[[#This Row],[Study Hours]]&lt;5,"Low Study","Normal")</f>
        <v>Normal</v>
      </c>
      <c r="Z30" s="1">
        <f>Table1[[#This Row],[Final Exam Score]]-Table1[[#This Row],[Midterm Score]]</f>
        <v>4</v>
      </c>
      <c r="AA30" s="1" t="str">
        <f>IF(Table1[[#This Row],[Final Score]]&gt;=80,"A",IF(Table1[[#This Row],[Final Score]]&gt;=70,"B",IF(Table1[[#This Row],[Final Score]]&gt;=60,"C",IF(Table1[[#This Row],[Final Score]]&gt;=50,"D","F"))))</f>
        <v>B</v>
      </c>
      <c r="AB30" s="1">
        <f>Table1[[#This Row],[Final Score]]+5</f>
        <v>84</v>
      </c>
      <c r="AC30" s="1" t="str">
        <f>IF(Table1[[#This Row],[Final Score]]&gt;=40,"Pass","Fail")</f>
        <v>Pass</v>
      </c>
      <c r="AD30" t="str">
        <f>IF(OR(Table1[[#This Row],[Final Score]]&gt;=80,Table1[[#This Row],[Attendance %]]&gt;=90),"High Performer","normal")</f>
        <v>normal</v>
      </c>
      <c r="AE30" s="1" t="str">
        <f>IF(Table1[[#This Row],[Gender]]="Male","Boy","Girl")</f>
        <v>Boy</v>
      </c>
      <c r="AF30" s="1" t="str">
        <f>IF(Table1[[#This Row],[Final Score]]&gt;90,"Certificate","No Allow Certificate")</f>
        <v>No Allow Certificate</v>
      </c>
      <c r="AG30" s="1" t="str">
        <f>IF(Table1[[#This Row],[Extracurricular]]="Yes","Active","Not Active")</f>
        <v>Active</v>
      </c>
      <c r="AH30" s="1" t="str">
        <f>IF(Table1[[#This Row],[Parent Education]]="Graduate","Educated_Parent", "Other")</f>
        <v>Educated_Parent</v>
      </c>
      <c r="AI30" s="1" t="str">
        <f>IF(Table1[[#This Row],[Assignments Avg]]&lt;70,"Need Practice","Ok")</f>
        <v>Ok</v>
      </c>
      <c r="AJ30" s="1" t="str">
        <f>Table1[[#This Row],[Frist_Name ]]&amp;" -"&amp;Table1[[#This Row],[Class]]</f>
        <v>Om -10</v>
      </c>
      <c r="AK30" s="1" t="str">
        <f>RIGHT(Table1[[#This Row],[Full Name ]],LEN(Table1[[#This Row],[Full Name ]])-SEARCH(" ",Table1[[#This Row],[Full Name ]]))</f>
        <v>Patil</v>
      </c>
      <c r="AL30" s="1" t="str">
        <f>LEFT(Table1[[#This Row],[Full Name ]],SEARCH(" ",Table1[[#This Row],[Full Name ]]))</f>
        <v xml:space="preserve">Om </v>
      </c>
      <c r="AM30" s="1">
        <f>LEN(Table1[[#This Row],[Frist_Name ]])</f>
        <v>2</v>
      </c>
      <c r="AN30" s="1"/>
      <c r="AO30" s="1"/>
    </row>
    <row r="31" spans="1:46" x14ac:dyDescent="0.3">
      <c r="A31" s="1">
        <v>30</v>
      </c>
      <c r="B31" s="1" t="s">
        <v>95</v>
      </c>
      <c r="C31" s="1" t="s">
        <v>54</v>
      </c>
      <c r="D31" t="str">
        <f>_xlfn.CONCAT(Table1[[#This Row],[Frist_Name ]]," ",Table1[[#This Row],[Last_Name]])</f>
        <v>Siya Joshi</v>
      </c>
      <c r="E31" s="1">
        <v>15</v>
      </c>
      <c r="F31" s="1" t="s">
        <v>25</v>
      </c>
      <c r="G31" s="1">
        <v>10</v>
      </c>
      <c r="H31" s="1" t="s">
        <v>32</v>
      </c>
      <c r="I31" s="1">
        <v>82</v>
      </c>
      <c r="J31" s="1">
        <v>76</v>
      </c>
      <c r="K31" s="1">
        <v>63</v>
      </c>
      <c r="L31" s="1">
        <v>65</v>
      </c>
      <c r="M31" s="1">
        <v>70</v>
      </c>
      <c r="N31" s="1">
        <v>72</v>
      </c>
      <c r="O31" s="1">
        <v>12</v>
      </c>
      <c r="P31" s="1" t="s">
        <v>21</v>
      </c>
      <c r="Q31" s="1" t="s">
        <v>22</v>
      </c>
      <c r="R31" s="1" t="s">
        <v>23</v>
      </c>
      <c r="S31" s="1">
        <v>68</v>
      </c>
      <c r="T31" s="1" t="s">
        <v>29</v>
      </c>
      <c r="U31" s="1" t="s">
        <v>24</v>
      </c>
      <c r="W31">
        <f>(Table1[[#This Row],[Assignments Avg]]*0.1)+(Table1[[#This Row],[Midterm Score]]*0.3)+(Table1[[#This Row],[Final Exam Score]]*0.45)+(Table1[[#This Row],[Project Score]]*0.1)</f>
        <v>62.75</v>
      </c>
      <c r="X31" s="1" t="str">
        <f>IF(OR(Table1[[#This Row],[Attendance %]]&lt;57,Table1[[#This Row],[Final Score]]&lt;45),"At-Risk","Ok")</f>
        <v>Ok</v>
      </c>
      <c r="Y31" s="1" t="str">
        <f>IF(Table1[[#This Row],[Study Hours]]&lt;5,"Low Study","Normal")</f>
        <v>Normal</v>
      </c>
      <c r="Z31" s="1">
        <f>Table1[[#This Row],[Final Exam Score]]-Table1[[#This Row],[Midterm Score]]</f>
        <v>2</v>
      </c>
      <c r="AA31" s="1" t="str">
        <f>IF(Table1[[#This Row],[Final Score]]&gt;=80,"A",IF(Table1[[#This Row],[Final Score]]&gt;=70,"B",IF(Table1[[#This Row],[Final Score]]&gt;=60,"C",IF(Table1[[#This Row],[Final Score]]&gt;=50,"D","F"))))</f>
        <v>C</v>
      </c>
      <c r="AB31" s="1">
        <f>Table1[[#This Row],[Final Score]]+5</f>
        <v>73</v>
      </c>
      <c r="AC31" s="1" t="str">
        <f>IF(Table1[[#This Row],[Final Score]]&gt;=40,"Pass","Fail")</f>
        <v>Pass</v>
      </c>
      <c r="AD31" t="str">
        <f>IF(OR(Table1[[#This Row],[Final Score]]&gt;=80,Table1[[#This Row],[Attendance %]]&gt;=90),"High Performer","normal")</f>
        <v>normal</v>
      </c>
      <c r="AE31" s="1" t="str">
        <f>IF(Table1[[#This Row],[Gender]]="Male","Boy","Girl")</f>
        <v>Girl</v>
      </c>
      <c r="AF31" s="1" t="str">
        <f>IF(Table1[[#This Row],[Final Score]]&gt;90,"Certificate","No Allow Certificate")</f>
        <v>No Allow Certificate</v>
      </c>
      <c r="AG31" s="1" t="str">
        <f>IF(Table1[[#This Row],[Extracurricular]]="Yes","Active","Not Active")</f>
        <v>Active</v>
      </c>
      <c r="AH31" s="1" t="str">
        <f>IF(Table1[[#This Row],[Parent Education]]="Graduate","Educated_Parent", "Other")</f>
        <v>Educated_Parent</v>
      </c>
      <c r="AI31" s="1" t="str">
        <f>IF(Table1[[#This Row],[Assignments Avg]]&lt;70,"Need Practice","Ok")</f>
        <v>Ok</v>
      </c>
      <c r="AJ31" s="1" t="str">
        <f>Table1[[#This Row],[Frist_Name ]]&amp;" -"&amp;Table1[[#This Row],[Class]]</f>
        <v>Siya -10</v>
      </c>
      <c r="AK31" s="1" t="str">
        <f>RIGHT(Table1[[#This Row],[Full Name ]],LEN(Table1[[#This Row],[Full Name ]])-SEARCH(" ",Table1[[#This Row],[Full Name ]]))</f>
        <v>Joshi</v>
      </c>
      <c r="AL31" s="1" t="str">
        <f>LEFT(Table1[[#This Row],[Full Name ]],SEARCH(" ",Table1[[#This Row],[Full Name ]]))</f>
        <v xml:space="preserve">Siya </v>
      </c>
      <c r="AM31" s="1">
        <f>LEN(Table1[[#This Row],[Frist_Name ]])</f>
        <v>4</v>
      </c>
      <c r="AN31" s="1"/>
      <c r="AO31" s="1"/>
      <c r="AP31" t="s">
        <v>1</v>
      </c>
      <c r="AQ31" t="s">
        <v>200</v>
      </c>
    </row>
    <row r="32" spans="1:46" x14ac:dyDescent="0.3">
      <c r="A32" s="1">
        <v>31</v>
      </c>
      <c r="B32" s="1" t="s">
        <v>96</v>
      </c>
      <c r="C32" s="1" t="s">
        <v>97</v>
      </c>
      <c r="D32" t="str">
        <f>_xlfn.CONCAT(Table1[[#This Row],[Frist_Name ]]," ",Table1[[#This Row],[Last_Name]])</f>
        <v>Dhruv Reddy</v>
      </c>
      <c r="E32" s="1">
        <v>16</v>
      </c>
      <c r="F32" s="1" t="s">
        <v>19</v>
      </c>
      <c r="G32" s="1">
        <v>10</v>
      </c>
      <c r="H32" s="1" t="s">
        <v>34</v>
      </c>
      <c r="I32" s="1">
        <v>67</v>
      </c>
      <c r="J32" s="1">
        <v>59</v>
      </c>
      <c r="K32" s="1">
        <v>44</v>
      </c>
      <c r="L32" s="1">
        <v>42</v>
      </c>
      <c r="M32" s="1">
        <v>51</v>
      </c>
      <c r="N32" s="1">
        <v>49</v>
      </c>
      <c r="O32" s="1">
        <v>6</v>
      </c>
      <c r="P32" s="1" t="s">
        <v>30</v>
      </c>
      <c r="Q32" s="1" t="s">
        <v>31</v>
      </c>
      <c r="R32" s="1" t="s">
        <v>33</v>
      </c>
      <c r="S32" s="1">
        <v>45</v>
      </c>
      <c r="T32" s="1" t="s">
        <v>34</v>
      </c>
      <c r="U32" s="1" t="s">
        <v>35</v>
      </c>
      <c r="W32">
        <f>(Table1[[#This Row],[Assignments Avg]]*0.1)+(Table1[[#This Row],[Midterm Score]]*0.3)+(Table1[[#This Row],[Final Exam Score]]*0.45)+(Table1[[#This Row],[Project Score]]*0.1)</f>
        <v>43.1</v>
      </c>
      <c r="X32" s="1" t="str">
        <f>IF(OR(Table1[[#This Row],[Attendance %]]&lt;57,Table1[[#This Row],[Final Score]]&lt;45),"At-Risk","Ok")</f>
        <v>Ok</v>
      </c>
      <c r="Y32" s="1" t="str">
        <f>IF(Table1[[#This Row],[Study Hours]]&lt;5,"Low Study","Normal")</f>
        <v>Normal</v>
      </c>
      <c r="Z32" s="1">
        <f>Table1[[#This Row],[Final Exam Score]]-Table1[[#This Row],[Midterm Score]]</f>
        <v>-2</v>
      </c>
      <c r="AA32" s="1" t="str">
        <f>IF(Table1[[#This Row],[Final Score]]&gt;=80,"A",IF(Table1[[#This Row],[Final Score]]&gt;=70,"B",IF(Table1[[#This Row],[Final Score]]&gt;=60,"C",IF(Table1[[#This Row],[Final Score]]&gt;=50,"D","F"))))</f>
        <v>F</v>
      </c>
      <c r="AB32" s="1">
        <f>Table1[[#This Row],[Final Score]]+5</f>
        <v>50</v>
      </c>
      <c r="AC32" s="1" t="str">
        <f>IF(Table1[[#This Row],[Final Score]]&gt;=40,"Pass","Fail")</f>
        <v>Pass</v>
      </c>
      <c r="AD32" t="str">
        <f>IF(OR(Table1[[#This Row],[Final Score]]&gt;=80,Table1[[#This Row],[Attendance %]]&gt;=90),"High Performer","normal")</f>
        <v>normal</v>
      </c>
      <c r="AE32" s="1" t="str">
        <f>IF(Table1[[#This Row],[Gender]]="Male","Boy","Girl")</f>
        <v>Boy</v>
      </c>
      <c r="AF32" s="1" t="str">
        <f>IF(Table1[[#This Row],[Final Score]]&gt;90,"Certificate","No Allow Certificate")</f>
        <v>No Allow Certificate</v>
      </c>
      <c r="AG32" s="1" t="str">
        <f>IF(Table1[[#This Row],[Extracurricular]]="Yes","Active","Not Active")</f>
        <v>Not Active</v>
      </c>
      <c r="AH32" s="1" t="str">
        <f>IF(Table1[[#This Row],[Parent Education]]="Graduate","Educated_Parent", "Other")</f>
        <v>Other</v>
      </c>
      <c r="AI32" s="1" t="str">
        <f>IF(Table1[[#This Row],[Assignments Avg]]&lt;70,"Need Practice","Ok")</f>
        <v>Need Practice</v>
      </c>
      <c r="AJ32" s="1" t="str">
        <f>Table1[[#This Row],[Frist_Name ]]&amp;" -"&amp;Table1[[#This Row],[Class]]</f>
        <v>Dhruv -10</v>
      </c>
      <c r="AK32" s="1" t="str">
        <f>RIGHT(Table1[[#This Row],[Full Name ]],LEN(Table1[[#This Row],[Full Name ]])-SEARCH(" ",Table1[[#This Row],[Full Name ]]))</f>
        <v>Reddy</v>
      </c>
      <c r="AL32" s="1" t="str">
        <f>LEFT(Table1[[#This Row],[Full Name ]],SEARCH(" ",Table1[[#This Row],[Full Name ]]))</f>
        <v xml:space="preserve">Dhruv </v>
      </c>
      <c r="AM32" s="1">
        <f>LEN(Table1[[#This Row],[Frist_Name ]])</f>
        <v>5</v>
      </c>
      <c r="AN32" s="1"/>
      <c r="AO32" s="1"/>
      <c r="AP32" t="s">
        <v>43</v>
      </c>
      <c r="AQ32" cm="1">
        <f t="array" ref="AQ32">_xlfn.XLOOKUP(AP32,Table1[Frist_Name ],S2:S101,"Not Found",0)</f>
        <v>79</v>
      </c>
    </row>
    <row r="33" spans="1:46" x14ac:dyDescent="0.3">
      <c r="A33" s="1">
        <v>32</v>
      </c>
      <c r="B33" s="1" t="s">
        <v>98</v>
      </c>
      <c r="C33" s="1" t="s">
        <v>99</v>
      </c>
      <c r="D33" t="str">
        <f>_xlfn.CONCAT(Table1[[#This Row],[Frist_Name ]]," ",Table1[[#This Row],[Last_Name]])</f>
        <v>Pari Deshmukh</v>
      </c>
      <c r="E33" s="1">
        <v>15</v>
      </c>
      <c r="F33" s="1" t="s">
        <v>25</v>
      </c>
      <c r="G33" s="1">
        <v>10</v>
      </c>
      <c r="H33" s="1" t="s">
        <v>34</v>
      </c>
      <c r="I33" s="1">
        <v>92</v>
      </c>
      <c r="J33" s="1">
        <v>88</v>
      </c>
      <c r="K33" s="1">
        <v>86</v>
      </c>
      <c r="L33" s="1">
        <v>89</v>
      </c>
      <c r="M33" s="1">
        <v>90</v>
      </c>
      <c r="N33" s="1">
        <v>87</v>
      </c>
      <c r="O33" s="1">
        <v>20</v>
      </c>
      <c r="P33" s="1" t="s">
        <v>21</v>
      </c>
      <c r="Q33" s="1" t="s">
        <v>26</v>
      </c>
      <c r="R33" s="1" t="s">
        <v>27</v>
      </c>
      <c r="S33" s="1">
        <v>89</v>
      </c>
      <c r="T33" s="1" t="s">
        <v>20</v>
      </c>
      <c r="U33" s="1" t="s">
        <v>24</v>
      </c>
      <c r="W33">
        <f>(Table1[[#This Row],[Assignments Avg]]*0.1)+(Table1[[#This Row],[Midterm Score]]*0.3)+(Table1[[#This Row],[Final Exam Score]]*0.45)+(Table1[[#This Row],[Project Score]]*0.1)</f>
        <v>83.65</v>
      </c>
      <c r="X33" s="1" t="str">
        <f>IF(OR(Table1[[#This Row],[Attendance %]]&lt;57,Table1[[#This Row],[Final Score]]&lt;45),"At-Risk","Ok")</f>
        <v>Ok</v>
      </c>
      <c r="Y33" s="1" t="str">
        <f>IF(Table1[[#This Row],[Study Hours]]&lt;5,"Low Study","Normal")</f>
        <v>Normal</v>
      </c>
      <c r="Z33" s="1">
        <f>Table1[[#This Row],[Final Exam Score]]-Table1[[#This Row],[Midterm Score]]</f>
        <v>3</v>
      </c>
      <c r="AA33" s="1" t="str">
        <f>IF(Table1[[#This Row],[Final Score]]&gt;=80,"A",IF(Table1[[#This Row],[Final Score]]&gt;=70,"B",IF(Table1[[#This Row],[Final Score]]&gt;=60,"C",IF(Table1[[#This Row],[Final Score]]&gt;=50,"D","F"))))</f>
        <v>A</v>
      </c>
      <c r="AB33" s="1">
        <f>Table1[[#This Row],[Final Score]]+5</f>
        <v>94</v>
      </c>
      <c r="AC33" s="1" t="str">
        <f>IF(Table1[[#This Row],[Final Score]]&gt;=40,"Pass","Fail")</f>
        <v>Pass</v>
      </c>
      <c r="AD33" t="str">
        <f>IF(OR(Table1[[#This Row],[Final Score]]&gt;=80,Table1[[#This Row],[Attendance %]]&gt;=90),"High Performer","normal")</f>
        <v>High Performer</v>
      </c>
      <c r="AE33" s="1" t="str">
        <f>IF(Table1[[#This Row],[Gender]]="Male","Boy","Girl")</f>
        <v>Girl</v>
      </c>
      <c r="AF33" s="1" t="str">
        <f>IF(Table1[[#This Row],[Final Score]]&gt;90,"Certificate","No Allow Certificate")</f>
        <v>No Allow Certificate</v>
      </c>
      <c r="AG33" s="1" t="str">
        <f>IF(Table1[[#This Row],[Extracurricular]]="Yes","Active","Not Active")</f>
        <v>Active</v>
      </c>
      <c r="AH33" s="1" t="str">
        <f>IF(Table1[[#This Row],[Parent Education]]="Graduate","Educated_Parent", "Other")</f>
        <v>Other</v>
      </c>
      <c r="AI33" s="1" t="str">
        <f>IF(Table1[[#This Row],[Assignments Avg]]&lt;70,"Need Practice","Ok")</f>
        <v>Ok</v>
      </c>
      <c r="AJ33" s="1" t="str">
        <f>Table1[[#This Row],[Frist_Name ]]&amp;" -"&amp;Table1[[#This Row],[Class]]</f>
        <v>Pari -10</v>
      </c>
      <c r="AK33" s="1" t="str">
        <f>RIGHT(Table1[[#This Row],[Full Name ]],LEN(Table1[[#This Row],[Full Name ]])-SEARCH(" ",Table1[[#This Row],[Full Name ]]))</f>
        <v>Deshmukh</v>
      </c>
      <c r="AL33" s="1" t="str">
        <f>LEFT(Table1[[#This Row],[Full Name ]],SEARCH(" ",Table1[[#This Row],[Full Name ]]))</f>
        <v xml:space="preserve">Pari </v>
      </c>
      <c r="AM33" s="1">
        <f>LEN(Table1[[#This Row],[Frist_Name ]])</f>
        <v>4</v>
      </c>
      <c r="AN33" s="1"/>
      <c r="AO33" s="1"/>
    </row>
    <row r="34" spans="1:46" x14ac:dyDescent="0.3">
      <c r="A34" s="1">
        <v>33</v>
      </c>
      <c r="B34" s="1" t="s">
        <v>100</v>
      </c>
      <c r="C34" s="1" t="s">
        <v>101</v>
      </c>
      <c r="D34" t="str">
        <f>_xlfn.CONCAT(Table1[[#This Row],[Frist_Name ]]," ",Table1[[#This Row],[Last_Name]])</f>
        <v>Rudra Bose</v>
      </c>
      <c r="E34" s="1">
        <v>16</v>
      </c>
      <c r="F34" s="1" t="s">
        <v>19</v>
      </c>
      <c r="G34" s="1">
        <v>11</v>
      </c>
      <c r="H34" s="1" t="s">
        <v>20</v>
      </c>
      <c r="I34" s="1">
        <v>80</v>
      </c>
      <c r="J34" s="1">
        <v>74</v>
      </c>
      <c r="K34" s="1">
        <v>60</v>
      </c>
      <c r="L34" s="1">
        <v>64</v>
      </c>
      <c r="M34" s="1">
        <v>69</v>
      </c>
      <c r="N34" s="1">
        <v>68</v>
      </c>
      <c r="O34" s="1">
        <v>11</v>
      </c>
      <c r="P34" s="1" t="s">
        <v>30</v>
      </c>
      <c r="Q34" s="1" t="s">
        <v>22</v>
      </c>
      <c r="R34" s="1" t="s">
        <v>23</v>
      </c>
      <c r="S34" s="1">
        <v>65</v>
      </c>
      <c r="T34" s="1" t="s">
        <v>32</v>
      </c>
      <c r="U34" s="1" t="s">
        <v>24</v>
      </c>
      <c r="W34">
        <f>(Table1[[#This Row],[Assignments Avg]]*0.1)+(Table1[[#This Row],[Midterm Score]]*0.3)+(Table1[[#This Row],[Final Exam Score]]*0.45)+(Table1[[#This Row],[Project Score]]*0.1)</f>
        <v>61.1</v>
      </c>
      <c r="X34" s="1" t="str">
        <f>IF(OR(Table1[[#This Row],[Attendance %]]&lt;57,Table1[[#This Row],[Final Score]]&lt;45),"At-Risk","Ok")</f>
        <v>Ok</v>
      </c>
      <c r="Y34" s="1" t="str">
        <f>IF(Table1[[#This Row],[Study Hours]]&lt;5,"Low Study","Normal")</f>
        <v>Normal</v>
      </c>
      <c r="Z34" s="1">
        <f>Table1[[#This Row],[Final Exam Score]]-Table1[[#This Row],[Midterm Score]]</f>
        <v>4</v>
      </c>
      <c r="AA34" s="1" t="str">
        <f>IF(Table1[[#This Row],[Final Score]]&gt;=80,"A",IF(Table1[[#This Row],[Final Score]]&gt;=70,"B",IF(Table1[[#This Row],[Final Score]]&gt;=60,"C",IF(Table1[[#This Row],[Final Score]]&gt;=50,"D","F"))))</f>
        <v>C</v>
      </c>
      <c r="AB34" s="1">
        <f>Table1[[#This Row],[Final Score]]+5</f>
        <v>70</v>
      </c>
      <c r="AC34" s="1" t="str">
        <f>IF(Table1[[#This Row],[Final Score]]&gt;=40,"Pass","Fail")</f>
        <v>Pass</v>
      </c>
      <c r="AD34" t="str">
        <f>IF(OR(Table1[[#This Row],[Final Score]]&gt;=80,Table1[[#This Row],[Attendance %]]&gt;=90),"High Performer","normal")</f>
        <v>normal</v>
      </c>
      <c r="AE34" s="1" t="str">
        <f>IF(Table1[[#This Row],[Gender]]="Male","Boy","Girl")</f>
        <v>Boy</v>
      </c>
      <c r="AF34" s="1" t="str">
        <f>IF(Table1[[#This Row],[Final Score]]&gt;90,"Certificate","No Allow Certificate")</f>
        <v>No Allow Certificate</v>
      </c>
      <c r="AG34" s="1" t="str">
        <f>IF(Table1[[#This Row],[Extracurricular]]="Yes","Active","Not Active")</f>
        <v>Not Active</v>
      </c>
      <c r="AH34" s="1" t="str">
        <f>IF(Table1[[#This Row],[Parent Education]]="Graduate","Educated_Parent", "Other")</f>
        <v>Educated_Parent</v>
      </c>
      <c r="AI34" s="1" t="str">
        <f>IF(Table1[[#This Row],[Assignments Avg]]&lt;70,"Need Practice","Ok")</f>
        <v>Ok</v>
      </c>
      <c r="AJ34" s="1" t="str">
        <f>Table1[[#This Row],[Frist_Name ]]&amp;" -"&amp;Table1[[#This Row],[Class]]</f>
        <v>Rudra -11</v>
      </c>
      <c r="AK34" s="1" t="str">
        <f>RIGHT(Table1[[#This Row],[Full Name ]],LEN(Table1[[#This Row],[Full Name ]])-SEARCH(" ",Table1[[#This Row],[Full Name ]]))</f>
        <v>Bose</v>
      </c>
      <c r="AL34" s="1" t="str">
        <f>LEFT(Table1[[#This Row],[Full Name ]],SEARCH(" ",Table1[[#This Row],[Full Name ]]))</f>
        <v xml:space="preserve">Rudra </v>
      </c>
      <c r="AM34" s="1">
        <f>LEN(Table1[[#This Row],[Frist_Name ]])</f>
        <v>5</v>
      </c>
      <c r="AN34" s="1"/>
      <c r="AO34" s="1"/>
    </row>
    <row r="35" spans="1:46" x14ac:dyDescent="0.3">
      <c r="A35" s="1">
        <v>34</v>
      </c>
      <c r="B35" s="1" t="s">
        <v>102</v>
      </c>
      <c r="C35" s="1" t="s">
        <v>103</v>
      </c>
      <c r="D35" t="str">
        <f>_xlfn.CONCAT(Table1[[#This Row],[Frist_Name ]]," ",Table1[[#This Row],[Last_Name]])</f>
        <v>Aadhya Sinha</v>
      </c>
      <c r="E35" s="1">
        <v>15</v>
      </c>
      <c r="F35" s="1" t="s">
        <v>25</v>
      </c>
      <c r="G35" s="1">
        <v>10</v>
      </c>
      <c r="H35" s="1" t="s">
        <v>20</v>
      </c>
      <c r="I35" s="1">
        <v>87</v>
      </c>
      <c r="J35" s="1">
        <v>81</v>
      </c>
      <c r="K35" s="1">
        <v>73</v>
      </c>
      <c r="L35" s="1">
        <v>78</v>
      </c>
      <c r="M35" s="1">
        <v>76</v>
      </c>
      <c r="N35" s="1">
        <v>82</v>
      </c>
      <c r="O35" s="1">
        <v>15</v>
      </c>
      <c r="P35" s="1" t="s">
        <v>21</v>
      </c>
      <c r="Q35" s="1" t="s">
        <v>22</v>
      </c>
      <c r="R35" s="1" t="s">
        <v>23</v>
      </c>
      <c r="S35" s="1">
        <v>77</v>
      </c>
      <c r="T35" s="1" t="s">
        <v>29</v>
      </c>
      <c r="U35" s="1" t="s">
        <v>24</v>
      </c>
      <c r="W35">
        <f>(Table1[[#This Row],[Assignments Avg]]*0.1)+(Table1[[#This Row],[Midterm Score]]*0.3)+(Table1[[#This Row],[Final Exam Score]]*0.45)+(Table1[[#This Row],[Project Score]]*0.1)</f>
        <v>72.699999999999989</v>
      </c>
      <c r="X35" s="1" t="str">
        <f>IF(OR(Table1[[#This Row],[Attendance %]]&lt;57,Table1[[#This Row],[Final Score]]&lt;45),"At-Risk","Ok")</f>
        <v>Ok</v>
      </c>
      <c r="Y35" s="1" t="str">
        <f>IF(Table1[[#This Row],[Study Hours]]&lt;5,"Low Study","Normal")</f>
        <v>Normal</v>
      </c>
      <c r="Z35" s="1">
        <f>Table1[[#This Row],[Final Exam Score]]-Table1[[#This Row],[Midterm Score]]</f>
        <v>5</v>
      </c>
      <c r="AA35" s="1" t="str">
        <f>IF(Table1[[#This Row],[Final Score]]&gt;=80,"A",IF(Table1[[#This Row],[Final Score]]&gt;=70,"B",IF(Table1[[#This Row],[Final Score]]&gt;=60,"C",IF(Table1[[#This Row],[Final Score]]&gt;=50,"D","F"))))</f>
        <v>B</v>
      </c>
      <c r="AB35" s="1">
        <f>Table1[[#This Row],[Final Score]]+5</f>
        <v>82</v>
      </c>
      <c r="AC35" s="1" t="str">
        <f>IF(Table1[[#This Row],[Final Score]]&gt;=40,"Pass","Fail")</f>
        <v>Pass</v>
      </c>
      <c r="AD35" t="str">
        <f>IF(OR(Table1[[#This Row],[Final Score]]&gt;=80,Table1[[#This Row],[Attendance %]]&gt;=90),"High Performer","normal")</f>
        <v>normal</v>
      </c>
      <c r="AE35" s="1" t="str">
        <f>IF(Table1[[#This Row],[Gender]]="Male","Boy","Girl")</f>
        <v>Girl</v>
      </c>
      <c r="AF35" s="1" t="str">
        <f>IF(Table1[[#This Row],[Final Score]]&gt;90,"Certificate","No Allow Certificate")</f>
        <v>No Allow Certificate</v>
      </c>
      <c r="AG35" s="1" t="str">
        <f>IF(Table1[[#This Row],[Extracurricular]]="Yes","Active","Not Active")</f>
        <v>Active</v>
      </c>
      <c r="AH35" s="1" t="str">
        <f>IF(Table1[[#This Row],[Parent Education]]="Graduate","Educated_Parent", "Other")</f>
        <v>Educated_Parent</v>
      </c>
      <c r="AI35" s="1" t="str">
        <f>IF(Table1[[#This Row],[Assignments Avg]]&lt;70,"Need Practice","Ok")</f>
        <v>Ok</v>
      </c>
      <c r="AJ35" s="1" t="str">
        <f>Table1[[#This Row],[Frist_Name ]]&amp;" -"&amp;Table1[[#This Row],[Class]]</f>
        <v>Aadhya -10</v>
      </c>
      <c r="AK35" s="1" t="str">
        <f>RIGHT(Table1[[#This Row],[Full Name ]],LEN(Table1[[#This Row],[Full Name ]])-SEARCH(" ",Table1[[#This Row],[Full Name ]]))</f>
        <v>Sinha</v>
      </c>
      <c r="AL35" s="1" t="str">
        <f>LEFT(Table1[[#This Row],[Full Name ]],SEARCH(" ",Table1[[#This Row],[Full Name ]]))</f>
        <v xml:space="preserve">Aadhya </v>
      </c>
      <c r="AM35" s="1">
        <f>LEN(Table1[[#This Row],[Frist_Name ]])</f>
        <v>6</v>
      </c>
      <c r="AN35" s="1"/>
      <c r="AO35" s="1"/>
      <c r="AP35" s="5" t="s">
        <v>205</v>
      </c>
      <c r="AQ35" s="5"/>
      <c r="AR35" s="5"/>
      <c r="AS35" s="5"/>
      <c r="AT35" s="5"/>
    </row>
    <row r="36" spans="1:46" x14ac:dyDescent="0.3">
      <c r="A36" s="1">
        <v>35</v>
      </c>
      <c r="B36" s="1" t="s">
        <v>104</v>
      </c>
      <c r="C36" s="1" t="s">
        <v>105</v>
      </c>
      <c r="D36" t="str">
        <f>_xlfn.CONCAT(Table1[[#This Row],[Frist_Name ]]," ",Table1[[#This Row],[Last_Name]])</f>
        <v>Veer Chawla</v>
      </c>
      <c r="E36" s="1">
        <v>16</v>
      </c>
      <c r="F36" s="1" t="s">
        <v>19</v>
      </c>
      <c r="G36" s="1">
        <v>10</v>
      </c>
      <c r="H36" s="1" t="s">
        <v>29</v>
      </c>
      <c r="I36" s="1">
        <v>59</v>
      </c>
      <c r="J36" s="1">
        <v>52</v>
      </c>
      <c r="K36" s="1">
        <v>37</v>
      </c>
      <c r="L36" s="1">
        <v>33</v>
      </c>
      <c r="M36" s="1">
        <v>44</v>
      </c>
      <c r="N36" s="1">
        <v>42</v>
      </c>
      <c r="O36" s="1">
        <v>4</v>
      </c>
      <c r="P36" s="1" t="s">
        <v>30</v>
      </c>
      <c r="Q36" s="1" t="s">
        <v>31</v>
      </c>
      <c r="R36" s="1" t="s">
        <v>33</v>
      </c>
      <c r="S36" s="1">
        <v>38</v>
      </c>
      <c r="T36" s="1" t="s">
        <v>36</v>
      </c>
      <c r="U36" s="1" t="s">
        <v>35</v>
      </c>
      <c r="W36">
        <f>(Table1[[#This Row],[Assignments Avg]]*0.1)+(Table1[[#This Row],[Midterm Score]]*0.3)+(Table1[[#This Row],[Final Exam Score]]*0.45)+(Table1[[#This Row],[Project Score]]*0.1)</f>
        <v>35.549999999999997</v>
      </c>
      <c r="X36" s="1" t="str">
        <f>IF(OR(Table1[[#This Row],[Attendance %]]&lt;57,Table1[[#This Row],[Final Score]]&lt;45),"At-Risk","Ok")</f>
        <v>At-Risk</v>
      </c>
      <c r="Y36" s="1" t="str">
        <f>IF(Table1[[#This Row],[Study Hours]]&lt;5,"Low Study","Normal")</f>
        <v>Low Study</v>
      </c>
      <c r="Z36" s="1">
        <f>Table1[[#This Row],[Final Exam Score]]-Table1[[#This Row],[Midterm Score]]</f>
        <v>-4</v>
      </c>
      <c r="AA36" s="1" t="str">
        <f>IF(Table1[[#This Row],[Final Score]]&gt;=80,"A",IF(Table1[[#This Row],[Final Score]]&gt;=70,"B",IF(Table1[[#This Row],[Final Score]]&gt;=60,"C",IF(Table1[[#This Row],[Final Score]]&gt;=50,"D","F"))))</f>
        <v>F</v>
      </c>
      <c r="AB36" s="1">
        <f>Table1[[#This Row],[Final Score]]+5</f>
        <v>43</v>
      </c>
      <c r="AC36" s="1" t="str">
        <f>IF(Table1[[#This Row],[Final Score]]&gt;=40,"Pass","Fail")</f>
        <v>Fail</v>
      </c>
      <c r="AD36" t="str">
        <f>IF(OR(Table1[[#This Row],[Final Score]]&gt;=80,Table1[[#This Row],[Attendance %]]&gt;=90),"High Performer","normal")</f>
        <v>normal</v>
      </c>
      <c r="AE36" s="1" t="str">
        <f>IF(Table1[[#This Row],[Gender]]="Male","Boy","Girl")</f>
        <v>Boy</v>
      </c>
      <c r="AF36" s="1" t="str">
        <f>IF(Table1[[#This Row],[Final Score]]&gt;90,"Certificate","No Allow Certificate")</f>
        <v>No Allow Certificate</v>
      </c>
      <c r="AG36" s="1" t="str">
        <f>IF(Table1[[#This Row],[Extracurricular]]="Yes","Active","Not Active")</f>
        <v>Not Active</v>
      </c>
      <c r="AH36" s="1" t="str">
        <f>IF(Table1[[#This Row],[Parent Education]]="Graduate","Educated_Parent", "Other")</f>
        <v>Other</v>
      </c>
      <c r="AI36" s="1" t="str">
        <f>IF(Table1[[#This Row],[Assignments Avg]]&lt;70,"Need Practice","Ok")</f>
        <v>Need Practice</v>
      </c>
      <c r="AJ36" s="1" t="str">
        <f>Table1[[#This Row],[Frist_Name ]]&amp;" -"&amp;Table1[[#This Row],[Class]]</f>
        <v>Veer -10</v>
      </c>
      <c r="AK36" s="1" t="str">
        <f>RIGHT(Table1[[#This Row],[Full Name ]],LEN(Table1[[#This Row],[Full Name ]])-SEARCH(" ",Table1[[#This Row],[Full Name ]]))</f>
        <v>Chawla</v>
      </c>
      <c r="AL36" s="1" t="str">
        <f>LEFT(Table1[[#This Row],[Full Name ]],SEARCH(" ",Table1[[#This Row],[Full Name ]]))</f>
        <v xml:space="preserve">Veer </v>
      </c>
      <c r="AM36" s="1">
        <f>LEN(Table1[[#This Row],[Frist_Name ]])</f>
        <v>4</v>
      </c>
      <c r="AN36" s="1"/>
      <c r="AO36" s="1"/>
    </row>
    <row r="37" spans="1:46" x14ac:dyDescent="0.3">
      <c r="A37" s="1">
        <v>36</v>
      </c>
      <c r="B37" s="1" t="s">
        <v>106</v>
      </c>
      <c r="C37" s="1" t="s">
        <v>107</v>
      </c>
      <c r="D37" t="str">
        <f>_xlfn.CONCAT(Table1[[#This Row],[Frist_Name ]]," ",Table1[[#This Row],[Last_Name]])</f>
        <v>Samaira Khan</v>
      </c>
      <c r="E37" s="1">
        <v>15</v>
      </c>
      <c r="F37" s="1" t="s">
        <v>25</v>
      </c>
      <c r="G37" s="1">
        <v>10</v>
      </c>
      <c r="H37" s="1" t="s">
        <v>29</v>
      </c>
      <c r="I37" s="1">
        <v>99</v>
      </c>
      <c r="J37" s="1">
        <v>97</v>
      </c>
      <c r="K37" s="1">
        <v>95</v>
      </c>
      <c r="L37" s="1">
        <v>98</v>
      </c>
      <c r="M37" s="1">
        <v>97</v>
      </c>
      <c r="N37" s="1">
        <v>96</v>
      </c>
      <c r="O37" s="1">
        <v>26</v>
      </c>
      <c r="P37" s="1" t="s">
        <v>21</v>
      </c>
      <c r="Q37" s="1" t="s">
        <v>26</v>
      </c>
      <c r="R37" s="1" t="s">
        <v>27</v>
      </c>
      <c r="S37" s="1">
        <v>97</v>
      </c>
      <c r="T37" s="1" t="s">
        <v>28</v>
      </c>
      <c r="U37" s="1" t="s">
        <v>24</v>
      </c>
      <c r="W37">
        <f>(Table1[[#This Row],[Assignments Avg]]*0.1)+(Table1[[#This Row],[Midterm Score]]*0.3)+(Table1[[#This Row],[Final Exam Score]]*0.45)+(Table1[[#This Row],[Project Score]]*0.1)</f>
        <v>92.000000000000014</v>
      </c>
      <c r="X37" s="1" t="str">
        <f>IF(OR(Table1[[#This Row],[Attendance %]]&lt;57,Table1[[#This Row],[Final Score]]&lt;45),"At-Risk","Ok")</f>
        <v>Ok</v>
      </c>
      <c r="Y37" s="1" t="str">
        <f>IF(Table1[[#This Row],[Study Hours]]&lt;5,"Low Study","Normal")</f>
        <v>Normal</v>
      </c>
      <c r="Z37" s="1">
        <f>Table1[[#This Row],[Final Exam Score]]-Table1[[#This Row],[Midterm Score]]</f>
        <v>3</v>
      </c>
      <c r="AA37" s="1" t="str">
        <f>IF(Table1[[#This Row],[Final Score]]&gt;=80,"A",IF(Table1[[#This Row],[Final Score]]&gt;=70,"B",IF(Table1[[#This Row],[Final Score]]&gt;=60,"C",IF(Table1[[#This Row],[Final Score]]&gt;=50,"D","F"))))</f>
        <v>A</v>
      </c>
      <c r="AB37" s="1">
        <f>Table1[[#This Row],[Final Score]]+5</f>
        <v>102</v>
      </c>
      <c r="AC37" s="1" t="str">
        <f>IF(Table1[[#This Row],[Final Score]]&gt;=40,"Pass","Fail")</f>
        <v>Pass</v>
      </c>
      <c r="AD37" t="str">
        <f>IF(OR(Table1[[#This Row],[Final Score]]&gt;=80,Table1[[#This Row],[Attendance %]]&gt;=90),"High Performer","normal")</f>
        <v>High Performer</v>
      </c>
      <c r="AE37" s="1" t="str">
        <f>IF(Table1[[#This Row],[Gender]]="Male","Boy","Girl")</f>
        <v>Girl</v>
      </c>
      <c r="AF37" s="1" t="str">
        <f>IF(Table1[[#This Row],[Final Score]]&gt;90,"Certificate","No Allow Certificate")</f>
        <v>Certificate</v>
      </c>
      <c r="AG37" s="1" t="str">
        <f>IF(Table1[[#This Row],[Extracurricular]]="Yes","Active","Not Active")</f>
        <v>Active</v>
      </c>
      <c r="AH37" s="1" t="str">
        <f>IF(Table1[[#This Row],[Parent Education]]="Graduate","Educated_Parent", "Other")</f>
        <v>Other</v>
      </c>
      <c r="AI37" s="1" t="str">
        <f>IF(Table1[[#This Row],[Assignments Avg]]&lt;70,"Need Practice","Ok")</f>
        <v>Ok</v>
      </c>
      <c r="AJ37" s="1" t="str">
        <f>Table1[[#This Row],[Frist_Name ]]&amp;" -"&amp;Table1[[#This Row],[Class]]</f>
        <v>Samaira -10</v>
      </c>
      <c r="AK37" s="1" t="str">
        <f>RIGHT(Table1[[#This Row],[Full Name ]],LEN(Table1[[#This Row],[Full Name ]])-SEARCH(" ",Table1[[#This Row],[Full Name ]]))</f>
        <v>Khan</v>
      </c>
      <c r="AL37" s="1" t="str">
        <f>LEFT(Table1[[#This Row],[Full Name ]],SEARCH(" ",Table1[[#This Row],[Full Name ]]))</f>
        <v xml:space="preserve">Samaira </v>
      </c>
      <c r="AM37" s="1">
        <f>LEN(Table1[[#This Row],[Frist_Name ]])</f>
        <v>7</v>
      </c>
      <c r="AN37" s="1"/>
      <c r="AO37" s="1"/>
    </row>
    <row r="38" spans="1:46" x14ac:dyDescent="0.3">
      <c r="A38" s="1">
        <v>37</v>
      </c>
      <c r="B38" s="1" t="s">
        <v>108</v>
      </c>
      <c r="C38" s="1" t="s">
        <v>109</v>
      </c>
      <c r="D38" t="str">
        <f>_xlfn.CONCAT(Table1[[#This Row],[Frist_Name ]]," ",Table1[[#This Row],[Last_Name]])</f>
        <v>Arnav Goyal</v>
      </c>
      <c r="E38" s="1">
        <v>16</v>
      </c>
      <c r="F38" s="1" t="s">
        <v>19</v>
      </c>
      <c r="G38" s="1">
        <v>10</v>
      </c>
      <c r="H38" s="1" t="s">
        <v>32</v>
      </c>
      <c r="I38" s="1">
        <v>90</v>
      </c>
      <c r="J38" s="1">
        <v>85</v>
      </c>
      <c r="K38" s="1">
        <v>79</v>
      </c>
      <c r="L38" s="1">
        <v>83</v>
      </c>
      <c r="M38" s="1">
        <v>84</v>
      </c>
      <c r="N38" s="1">
        <v>86</v>
      </c>
      <c r="O38" s="1">
        <v>18</v>
      </c>
      <c r="P38" s="1" t="s">
        <v>21</v>
      </c>
      <c r="Q38" s="1" t="s">
        <v>22</v>
      </c>
      <c r="R38" s="1" t="s">
        <v>27</v>
      </c>
      <c r="S38" s="1">
        <v>83</v>
      </c>
      <c r="T38" s="1" t="s">
        <v>20</v>
      </c>
      <c r="U38" s="1" t="s">
        <v>24</v>
      </c>
      <c r="W38">
        <f>(Table1[[#This Row],[Assignments Avg]]*0.1)+(Table1[[#This Row],[Midterm Score]]*0.3)+(Table1[[#This Row],[Final Exam Score]]*0.45)+(Table1[[#This Row],[Project Score]]*0.1)</f>
        <v>77.950000000000017</v>
      </c>
      <c r="X38" s="1" t="str">
        <f>IF(OR(Table1[[#This Row],[Attendance %]]&lt;57,Table1[[#This Row],[Final Score]]&lt;45),"At-Risk","Ok")</f>
        <v>Ok</v>
      </c>
      <c r="Y38" s="1" t="str">
        <f>IF(Table1[[#This Row],[Study Hours]]&lt;5,"Low Study","Normal")</f>
        <v>Normal</v>
      </c>
      <c r="Z38" s="1">
        <f>Table1[[#This Row],[Final Exam Score]]-Table1[[#This Row],[Midterm Score]]</f>
        <v>4</v>
      </c>
      <c r="AA38" s="1" t="str">
        <f>IF(Table1[[#This Row],[Final Score]]&gt;=80,"A",IF(Table1[[#This Row],[Final Score]]&gt;=70,"B",IF(Table1[[#This Row],[Final Score]]&gt;=60,"C",IF(Table1[[#This Row],[Final Score]]&gt;=50,"D","F"))))</f>
        <v>A</v>
      </c>
      <c r="AB38" s="1">
        <f>Table1[[#This Row],[Final Score]]+5</f>
        <v>88</v>
      </c>
      <c r="AC38" s="1" t="str">
        <f>IF(Table1[[#This Row],[Final Score]]&gt;=40,"Pass","Fail")</f>
        <v>Pass</v>
      </c>
      <c r="AD38" t="str">
        <f>IF(OR(Table1[[#This Row],[Final Score]]&gt;=80,Table1[[#This Row],[Attendance %]]&gt;=90),"High Performer","normal")</f>
        <v>High Performer</v>
      </c>
      <c r="AE38" s="1" t="str">
        <f>IF(Table1[[#This Row],[Gender]]="Male","Boy","Girl")</f>
        <v>Boy</v>
      </c>
      <c r="AF38" s="1" t="str">
        <f>IF(Table1[[#This Row],[Final Score]]&gt;90,"Certificate","No Allow Certificate")</f>
        <v>No Allow Certificate</v>
      </c>
      <c r="AG38" s="1" t="str">
        <f>IF(Table1[[#This Row],[Extracurricular]]="Yes","Active","Not Active")</f>
        <v>Active</v>
      </c>
      <c r="AH38" s="1" t="str">
        <f>IF(Table1[[#This Row],[Parent Education]]="Graduate","Educated_Parent", "Other")</f>
        <v>Educated_Parent</v>
      </c>
      <c r="AI38" s="1" t="str">
        <f>IF(Table1[[#This Row],[Assignments Avg]]&lt;70,"Need Practice","Ok")</f>
        <v>Ok</v>
      </c>
      <c r="AJ38" s="1" t="str">
        <f>Table1[[#This Row],[Frist_Name ]]&amp;" -"&amp;Table1[[#This Row],[Class]]</f>
        <v>Arnav -10</v>
      </c>
      <c r="AK38" s="1" t="str">
        <f>RIGHT(Table1[[#This Row],[Full Name ]],LEN(Table1[[#This Row],[Full Name ]])-SEARCH(" ",Table1[[#This Row],[Full Name ]]))</f>
        <v>Goyal</v>
      </c>
      <c r="AL38" s="1" t="str">
        <f>LEFT(Table1[[#This Row],[Full Name ]],SEARCH(" ",Table1[[#This Row],[Full Name ]]))</f>
        <v xml:space="preserve">Arnav </v>
      </c>
      <c r="AM38" s="1">
        <f>LEN(Table1[[#This Row],[Frist_Name ]])</f>
        <v>5</v>
      </c>
      <c r="AN38" s="1"/>
      <c r="AO38" s="1"/>
      <c r="AP38" s="2" t="s">
        <v>202</v>
      </c>
      <c r="AQ38" t="s">
        <v>204</v>
      </c>
    </row>
    <row r="39" spans="1:46" x14ac:dyDescent="0.3">
      <c r="A39" s="1">
        <v>38</v>
      </c>
      <c r="B39" s="1" t="s">
        <v>110</v>
      </c>
      <c r="C39" s="1" t="s">
        <v>111</v>
      </c>
      <c r="D39" t="str">
        <f>_xlfn.CONCAT(Table1[[#This Row],[Frist_Name ]]," ",Table1[[#This Row],[Last_Name]])</f>
        <v>Zara Sheikh</v>
      </c>
      <c r="E39" s="1">
        <v>15</v>
      </c>
      <c r="F39" s="1" t="s">
        <v>25</v>
      </c>
      <c r="G39" s="1">
        <v>11</v>
      </c>
      <c r="H39" s="1" t="s">
        <v>32</v>
      </c>
      <c r="I39" s="1">
        <v>77</v>
      </c>
      <c r="J39" s="1">
        <v>71</v>
      </c>
      <c r="K39" s="1">
        <v>56</v>
      </c>
      <c r="L39" s="1">
        <v>60</v>
      </c>
      <c r="M39" s="1">
        <v>64</v>
      </c>
      <c r="N39" s="1">
        <v>67</v>
      </c>
      <c r="O39" s="1">
        <v>9</v>
      </c>
      <c r="P39" s="1" t="s">
        <v>30</v>
      </c>
      <c r="Q39" s="1" t="s">
        <v>22</v>
      </c>
      <c r="R39" s="1" t="s">
        <v>23</v>
      </c>
      <c r="S39" s="1">
        <v>62</v>
      </c>
      <c r="T39" s="1" t="s">
        <v>32</v>
      </c>
      <c r="U39" s="1" t="s">
        <v>24</v>
      </c>
      <c r="W39">
        <f>(Table1[[#This Row],[Assignments Avg]]*0.1)+(Table1[[#This Row],[Midterm Score]]*0.3)+(Table1[[#This Row],[Final Exam Score]]*0.45)+(Table1[[#This Row],[Project Score]]*0.1)</f>
        <v>57.300000000000004</v>
      </c>
      <c r="X39" s="1" t="str">
        <f>IF(OR(Table1[[#This Row],[Attendance %]]&lt;57,Table1[[#This Row],[Final Score]]&lt;45),"At-Risk","Ok")</f>
        <v>Ok</v>
      </c>
      <c r="Y39" s="1" t="str">
        <f>IF(Table1[[#This Row],[Study Hours]]&lt;5,"Low Study","Normal")</f>
        <v>Normal</v>
      </c>
      <c r="Z39" s="1">
        <f>Table1[[#This Row],[Final Exam Score]]-Table1[[#This Row],[Midterm Score]]</f>
        <v>4</v>
      </c>
      <c r="AA39" s="1" t="str">
        <f>IF(Table1[[#This Row],[Final Score]]&gt;=80,"A",IF(Table1[[#This Row],[Final Score]]&gt;=70,"B",IF(Table1[[#This Row],[Final Score]]&gt;=60,"C",IF(Table1[[#This Row],[Final Score]]&gt;=50,"D","F"))))</f>
        <v>C</v>
      </c>
      <c r="AB39" s="1">
        <f>Table1[[#This Row],[Final Score]]+5</f>
        <v>67</v>
      </c>
      <c r="AC39" s="1" t="str">
        <f>IF(Table1[[#This Row],[Final Score]]&gt;=40,"Pass","Fail")</f>
        <v>Pass</v>
      </c>
      <c r="AD39" t="str">
        <f>IF(OR(Table1[[#This Row],[Final Score]]&gt;=80,Table1[[#This Row],[Attendance %]]&gt;=90),"High Performer","normal")</f>
        <v>normal</v>
      </c>
      <c r="AE39" s="1" t="str">
        <f>IF(Table1[[#This Row],[Gender]]="Male","Boy","Girl")</f>
        <v>Girl</v>
      </c>
      <c r="AF39" s="1" t="str">
        <f>IF(Table1[[#This Row],[Final Score]]&gt;90,"Certificate","No Allow Certificate")</f>
        <v>No Allow Certificate</v>
      </c>
      <c r="AG39" s="1" t="str">
        <f>IF(Table1[[#This Row],[Extracurricular]]="Yes","Active","Not Active")</f>
        <v>Not Active</v>
      </c>
      <c r="AH39" s="1" t="str">
        <f>IF(Table1[[#This Row],[Parent Education]]="Graduate","Educated_Parent", "Other")</f>
        <v>Educated_Parent</v>
      </c>
      <c r="AI39" s="1" t="str">
        <f>IF(Table1[[#This Row],[Assignments Avg]]&lt;70,"Need Practice","Ok")</f>
        <v>Ok</v>
      </c>
      <c r="AJ39" s="1" t="str">
        <f>Table1[[#This Row],[Frist_Name ]]&amp;" -"&amp;Table1[[#This Row],[Class]]</f>
        <v>Zara -11</v>
      </c>
      <c r="AK39" s="1" t="str">
        <f>RIGHT(Table1[[#This Row],[Full Name ]],LEN(Table1[[#This Row],[Full Name ]])-SEARCH(" ",Table1[[#This Row],[Full Name ]]))</f>
        <v>Sheikh</v>
      </c>
      <c r="AL39" s="1" t="str">
        <f>LEFT(Table1[[#This Row],[Full Name ]],SEARCH(" ",Table1[[#This Row],[Full Name ]]))</f>
        <v xml:space="preserve">Zara </v>
      </c>
      <c r="AM39" s="1">
        <f>LEN(Table1[[#This Row],[Frist_Name ]])</f>
        <v>4</v>
      </c>
      <c r="AN39" s="1"/>
      <c r="AO39" s="1"/>
      <c r="AP39" s="3">
        <v>10</v>
      </c>
      <c r="AQ39">
        <v>70.666666666666671</v>
      </c>
    </row>
    <row r="40" spans="1:46" x14ac:dyDescent="0.3">
      <c r="A40" s="1">
        <v>39</v>
      </c>
      <c r="B40" s="1" t="s">
        <v>112</v>
      </c>
      <c r="C40" s="1" t="s">
        <v>113</v>
      </c>
      <c r="D40" t="str">
        <f>_xlfn.CONCAT(Table1[[#This Row],[Frist_Name ]]," ",Table1[[#This Row],[Last_Name]])</f>
        <v>Kartik Soni</v>
      </c>
      <c r="E40" s="1">
        <v>16</v>
      </c>
      <c r="F40" s="1" t="s">
        <v>19</v>
      </c>
      <c r="G40" s="1">
        <v>10</v>
      </c>
      <c r="H40" s="1" t="s">
        <v>34</v>
      </c>
      <c r="I40" s="1">
        <v>71</v>
      </c>
      <c r="J40" s="1">
        <v>63</v>
      </c>
      <c r="K40" s="1">
        <v>48</v>
      </c>
      <c r="L40" s="1">
        <v>45</v>
      </c>
      <c r="M40" s="1">
        <v>54</v>
      </c>
      <c r="N40" s="1">
        <v>56</v>
      </c>
      <c r="O40" s="1">
        <v>7</v>
      </c>
      <c r="P40" s="1" t="s">
        <v>30</v>
      </c>
      <c r="Q40" s="1" t="s">
        <v>31</v>
      </c>
      <c r="R40" s="1" t="s">
        <v>33</v>
      </c>
      <c r="S40" s="1">
        <v>49</v>
      </c>
      <c r="T40" s="1" t="s">
        <v>34</v>
      </c>
      <c r="U40" s="1" t="s">
        <v>35</v>
      </c>
      <c r="W40">
        <f>(Table1[[#This Row],[Assignments Avg]]*0.1)+(Table1[[#This Row],[Midterm Score]]*0.3)+(Table1[[#This Row],[Final Exam Score]]*0.45)+(Table1[[#This Row],[Project Score]]*0.1)</f>
        <v>46.35</v>
      </c>
      <c r="X40" s="1" t="str">
        <f>IF(OR(Table1[[#This Row],[Attendance %]]&lt;57,Table1[[#This Row],[Final Score]]&lt;45),"At-Risk","Ok")</f>
        <v>Ok</v>
      </c>
      <c r="Y40" s="1" t="str">
        <f>IF(Table1[[#This Row],[Study Hours]]&lt;5,"Low Study","Normal")</f>
        <v>Normal</v>
      </c>
      <c r="Z40" s="1">
        <f>Table1[[#This Row],[Final Exam Score]]-Table1[[#This Row],[Midterm Score]]</f>
        <v>-3</v>
      </c>
      <c r="AA40" s="1" t="str">
        <f>IF(Table1[[#This Row],[Final Score]]&gt;=80,"A",IF(Table1[[#This Row],[Final Score]]&gt;=70,"B",IF(Table1[[#This Row],[Final Score]]&gt;=60,"C",IF(Table1[[#This Row],[Final Score]]&gt;=50,"D","F"))))</f>
        <v>F</v>
      </c>
      <c r="AB40" s="1">
        <f>Table1[[#This Row],[Final Score]]+5</f>
        <v>54</v>
      </c>
      <c r="AC40" s="1" t="str">
        <f>IF(Table1[[#This Row],[Final Score]]&gt;=40,"Pass","Fail")</f>
        <v>Pass</v>
      </c>
      <c r="AD40" t="str">
        <f>IF(OR(Table1[[#This Row],[Final Score]]&gt;=80,Table1[[#This Row],[Attendance %]]&gt;=90),"High Performer","normal")</f>
        <v>normal</v>
      </c>
      <c r="AE40" s="1" t="str">
        <f>IF(Table1[[#This Row],[Gender]]="Male","Boy","Girl")</f>
        <v>Boy</v>
      </c>
      <c r="AF40" s="1" t="str">
        <f>IF(Table1[[#This Row],[Final Score]]&gt;90,"Certificate","No Allow Certificate")</f>
        <v>No Allow Certificate</v>
      </c>
      <c r="AG40" s="1" t="str">
        <f>IF(Table1[[#This Row],[Extracurricular]]="Yes","Active","Not Active")</f>
        <v>Not Active</v>
      </c>
      <c r="AH40" s="1" t="str">
        <f>IF(Table1[[#This Row],[Parent Education]]="Graduate","Educated_Parent", "Other")</f>
        <v>Other</v>
      </c>
      <c r="AI40" s="1" t="str">
        <f>IF(Table1[[#This Row],[Assignments Avg]]&lt;70,"Need Practice","Ok")</f>
        <v>Need Practice</v>
      </c>
      <c r="AJ40" s="1" t="str">
        <f>Table1[[#This Row],[Frist_Name ]]&amp;" -"&amp;Table1[[#This Row],[Class]]</f>
        <v>Kartik -10</v>
      </c>
      <c r="AK40" s="1" t="str">
        <f>RIGHT(Table1[[#This Row],[Full Name ]],LEN(Table1[[#This Row],[Full Name ]])-SEARCH(" ",Table1[[#This Row],[Full Name ]]))</f>
        <v>Soni</v>
      </c>
      <c r="AL40" s="1" t="str">
        <f>LEFT(Table1[[#This Row],[Full Name ]],SEARCH(" ",Table1[[#This Row],[Full Name ]]))</f>
        <v xml:space="preserve">Kartik </v>
      </c>
      <c r="AM40" s="1">
        <f>LEN(Table1[[#This Row],[Frist_Name ]])</f>
        <v>6</v>
      </c>
      <c r="AN40" s="1"/>
      <c r="AO40" s="1"/>
      <c r="AP40" s="3">
        <v>11</v>
      </c>
      <c r="AQ40">
        <v>70.5</v>
      </c>
    </row>
    <row r="41" spans="1:46" x14ac:dyDescent="0.3">
      <c r="A41" s="1">
        <v>40</v>
      </c>
      <c r="B41" s="1" t="s">
        <v>114</v>
      </c>
      <c r="C41" s="1" t="s">
        <v>115</v>
      </c>
      <c r="D41" t="str">
        <f>_xlfn.CONCAT(Table1[[#This Row],[Frist_Name ]]," ",Table1[[#This Row],[Last_Name]])</f>
        <v>Ahana Dutta</v>
      </c>
      <c r="E41" s="1">
        <v>15</v>
      </c>
      <c r="F41" s="1" t="s">
        <v>25</v>
      </c>
      <c r="G41" s="1">
        <v>10</v>
      </c>
      <c r="H41" s="1" t="s">
        <v>34</v>
      </c>
      <c r="I41" s="1">
        <v>93</v>
      </c>
      <c r="J41" s="1">
        <v>90</v>
      </c>
      <c r="K41" s="1">
        <v>87</v>
      </c>
      <c r="L41" s="1">
        <v>91</v>
      </c>
      <c r="M41" s="1">
        <v>89</v>
      </c>
      <c r="N41" s="1">
        <v>92</v>
      </c>
      <c r="O41" s="1">
        <v>21</v>
      </c>
      <c r="P41" s="1" t="s">
        <v>21</v>
      </c>
      <c r="Q41" s="1" t="s">
        <v>26</v>
      </c>
      <c r="R41" s="1" t="s">
        <v>27</v>
      </c>
      <c r="S41" s="1">
        <v>90</v>
      </c>
      <c r="T41" s="1" t="s">
        <v>28</v>
      </c>
      <c r="U41" s="1" t="s">
        <v>24</v>
      </c>
      <c r="W41">
        <f>(Table1[[#This Row],[Assignments Avg]]*0.1)+(Table1[[#This Row],[Midterm Score]]*0.3)+(Table1[[#This Row],[Final Exam Score]]*0.45)+(Table1[[#This Row],[Project Score]]*0.1)</f>
        <v>84.95</v>
      </c>
      <c r="X41" s="1" t="str">
        <f>IF(OR(Table1[[#This Row],[Attendance %]]&lt;57,Table1[[#This Row],[Final Score]]&lt;45),"At-Risk","Ok")</f>
        <v>Ok</v>
      </c>
      <c r="Y41" s="1" t="str">
        <f>IF(Table1[[#This Row],[Study Hours]]&lt;5,"Low Study","Normal")</f>
        <v>Normal</v>
      </c>
      <c r="Z41" s="1">
        <f>Table1[[#This Row],[Final Exam Score]]-Table1[[#This Row],[Midterm Score]]</f>
        <v>4</v>
      </c>
      <c r="AA41" s="1" t="str">
        <f>IF(Table1[[#This Row],[Final Score]]&gt;=80,"A",IF(Table1[[#This Row],[Final Score]]&gt;=70,"B",IF(Table1[[#This Row],[Final Score]]&gt;=60,"C",IF(Table1[[#This Row],[Final Score]]&gt;=50,"D","F"))))</f>
        <v>A</v>
      </c>
      <c r="AB41" s="1">
        <f>Table1[[#This Row],[Final Score]]+5</f>
        <v>95</v>
      </c>
      <c r="AC41" s="1" t="str">
        <f>IF(Table1[[#This Row],[Final Score]]&gt;=40,"Pass","Fail")</f>
        <v>Pass</v>
      </c>
      <c r="AD41" t="str">
        <f>IF(OR(Table1[[#This Row],[Final Score]]&gt;=80,Table1[[#This Row],[Attendance %]]&gt;=90),"High Performer","normal")</f>
        <v>High Performer</v>
      </c>
      <c r="AE41" s="1" t="str">
        <f>IF(Table1[[#This Row],[Gender]]="Male","Boy","Girl")</f>
        <v>Girl</v>
      </c>
      <c r="AF41" s="1" t="str">
        <f>IF(Table1[[#This Row],[Final Score]]&gt;90,"Certificate","No Allow Certificate")</f>
        <v>No Allow Certificate</v>
      </c>
      <c r="AG41" s="1" t="str">
        <f>IF(Table1[[#This Row],[Extracurricular]]="Yes","Active","Not Active")</f>
        <v>Active</v>
      </c>
      <c r="AH41" s="1" t="str">
        <f>IF(Table1[[#This Row],[Parent Education]]="Graduate","Educated_Parent", "Other")</f>
        <v>Other</v>
      </c>
      <c r="AI41" s="1" t="str">
        <f>IF(Table1[[#This Row],[Assignments Avg]]&lt;70,"Need Practice","Ok")</f>
        <v>Ok</v>
      </c>
      <c r="AJ41" s="1" t="str">
        <f>Table1[[#This Row],[Frist_Name ]]&amp;" -"&amp;Table1[[#This Row],[Class]]</f>
        <v>Ahana -10</v>
      </c>
      <c r="AK41" s="1" t="str">
        <f>RIGHT(Table1[[#This Row],[Full Name ]],LEN(Table1[[#This Row],[Full Name ]])-SEARCH(" ",Table1[[#This Row],[Full Name ]]))</f>
        <v>Dutta</v>
      </c>
      <c r="AL41" s="1" t="str">
        <f>LEFT(Table1[[#This Row],[Full Name ]],SEARCH(" ",Table1[[#This Row],[Full Name ]]))</f>
        <v xml:space="preserve">Ahana </v>
      </c>
      <c r="AM41" s="1">
        <f>LEN(Table1[[#This Row],[Frist_Name ]])</f>
        <v>5</v>
      </c>
      <c r="AN41" s="1"/>
      <c r="AO41" s="1"/>
      <c r="AP41" s="3">
        <v>12</v>
      </c>
      <c r="AQ41">
        <v>61.363636363636367</v>
      </c>
    </row>
    <row r="42" spans="1:46" x14ac:dyDescent="0.3">
      <c r="A42" s="1">
        <v>41</v>
      </c>
      <c r="B42" s="1" t="s">
        <v>116</v>
      </c>
      <c r="C42" s="1" t="s">
        <v>117</v>
      </c>
      <c r="D42" t="str">
        <f>_xlfn.CONCAT(Table1[[#This Row],[Frist_Name ]]," ",Table1[[#This Row],[Last_Name]])</f>
        <v>Raghav Bhat</v>
      </c>
      <c r="E42" s="1">
        <v>16</v>
      </c>
      <c r="F42" s="1" t="s">
        <v>19</v>
      </c>
      <c r="G42" s="1">
        <v>10</v>
      </c>
      <c r="H42" s="1" t="s">
        <v>20</v>
      </c>
      <c r="I42" s="1">
        <v>84</v>
      </c>
      <c r="J42" s="1">
        <v>78</v>
      </c>
      <c r="K42" s="1">
        <v>70</v>
      </c>
      <c r="L42" s="1">
        <v>74</v>
      </c>
      <c r="M42" s="1">
        <v>72</v>
      </c>
      <c r="N42" s="1">
        <v>77</v>
      </c>
      <c r="O42" s="1">
        <v>14</v>
      </c>
      <c r="P42" s="1" t="s">
        <v>21</v>
      </c>
      <c r="Q42" s="1" t="s">
        <v>22</v>
      </c>
      <c r="R42" s="1" t="s">
        <v>23</v>
      </c>
      <c r="S42" s="1">
        <v>73</v>
      </c>
      <c r="T42" s="1" t="s">
        <v>29</v>
      </c>
      <c r="U42" s="1" t="s">
        <v>24</v>
      </c>
      <c r="W42">
        <f>(Table1[[#This Row],[Assignments Avg]]*0.1)+(Table1[[#This Row],[Midterm Score]]*0.3)+(Table1[[#This Row],[Final Exam Score]]*0.45)+(Table1[[#This Row],[Project Score]]*0.1)</f>
        <v>69.300000000000011</v>
      </c>
      <c r="X42" s="1" t="str">
        <f>IF(OR(Table1[[#This Row],[Attendance %]]&lt;57,Table1[[#This Row],[Final Score]]&lt;45),"At-Risk","Ok")</f>
        <v>Ok</v>
      </c>
      <c r="Y42" s="1" t="str">
        <f>IF(Table1[[#This Row],[Study Hours]]&lt;5,"Low Study","Normal")</f>
        <v>Normal</v>
      </c>
      <c r="Z42" s="1">
        <f>Table1[[#This Row],[Final Exam Score]]-Table1[[#This Row],[Midterm Score]]</f>
        <v>4</v>
      </c>
      <c r="AA42" s="1" t="str">
        <f>IF(Table1[[#This Row],[Final Score]]&gt;=80,"A",IF(Table1[[#This Row],[Final Score]]&gt;=70,"B",IF(Table1[[#This Row],[Final Score]]&gt;=60,"C",IF(Table1[[#This Row],[Final Score]]&gt;=50,"D","F"))))</f>
        <v>B</v>
      </c>
      <c r="AB42" s="1">
        <f>Table1[[#This Row],[Final Score]]+5</f>
        <v>78</v>
      </c>
      <c r="AC42" s="1" t="str">
        <f>IF(Table1[[#This Row],[Final Score]]&gt;=40,"Pass","Fail")</f>
        <v>Pass</v>
      </c>
      <c r="AD42" t="str">
        <f>IF(OR(Table1[[#This Row],[Final Score]]&gt;=80,Table1[[#This Row],[Attendance %]]&gt;=90),"High Performer","normal")</f>
        <v>normal</v>
      </c>
      <c r="AE42" s="1" t="str">
        <f>IF(Table1[[#This Row],[Gender]]="Male","Boy","Girl")</f>
        <v>Boy</v>
      </c>
      <c r="AF42" s="1" t="str">
        <f>IF(Table1[[#This Row],[Final Score]]&gt;90,"Certificate","No Allow Certificate")</f>
        <v>No Allow Certificate</v>
      </c>
      <c r="AG42" s="1" t="str">
        <f>IF(Table1[[#This Row],[Extracurricular]]="Yes","Active","Not Active")</f>
        <v>Active</v>
      </c>
      <c r="AH42" s="1" t="str">
        <f>IF(Table1[[#This Row],[Parent Education]]="Graduate","Educated_Parent", "Other")</f>
        <v>Educated_Parent</v>
      </c>
      <c r="AI42" s="1" t="str">
        <f>IF(Table1[[#This Row],[Assignments Avg]]&lt;70,"Need Practice","Ok")</f>
        <v>Ok</v>
      </c>
      <c r="AJ42" s="1" t="str">
        <f>Table1[[#This Row],[Frist_Name ]]&amp;" -"&amp;Table1[[#This Row],[Class]]</f>
        <v>Raghav -10</v>
      </c>
      <c r="AK42" s="1" t="str">
        <f>RIGHT(Table1[[#This Row],[Full Name ]],LEN(Table1[[#This Row],[Full Name ]])-SEARCH(" ",Table1[[#This Row],[Full Name ]]))</f>
        <v>Bhat</v>
      </c>
      <c r="AL42" s="1" t="str">
        <f>LEFT(Table1[[#This Row],[Full Name ]],SEARCH(" ",Table1[[#This Row],[Full Name ]]))</f>
        <v xml:space="preserve">Raghav </v>
      </c>
      <c r="AM42" s="1">
        <f>LEN(Table1[[#This Row],[Frist_Name ]])</f>
        <v>6</v>
      </c>
      <c r="AN42" s="1"/>
      <c r="AO42" s="1"/>
      <c r="AP42" s="3" t="s">
        <v>203</v>
      </c>
      <c r="AQ42">
        <v>69.61</v>
      </c>
    </row>
    <row r="43" spans="1:46" x14ac:dyDescent="0.3">
      <c r="A43" s="1">
        <v>42</v>
      </c>
      <c r="B43" s="1" t="s">
        <v>118</v>
      </c>
      <c r="C43" s="1" t="s">
        <v>119</v>
      </c>
      <c r="D43" t="str">
        <f>_xlfn.CONCAT(Table1[[#This Row],[Frist_Name ]]," ",Table1[[#This Row],[Last_Name]])</f>
        <v>Anika Paul</v>
      </c>
      <c r="E43" s="1">
        <v>15</v>
      </c>
      <c r="F43" s="1" t="s">
        <v>25</v>
      </c>
      <c r="G43" s="1">
        <v>10</v>
      </c>
      <c r="H43" s="1" t="s">
        <v>20</v>
      </c>
      <c r="I43" s="1">
        <v>89</v>
      </c>
      <c r="J43" s="1">
        <v>86</v>
      </c>
      <c r="K43" s="1">
        <v>80</v>
      </c>
      <c r="L43" s="1">
        <v>85</v>
      </c>
      <c r="M43" s="1">
        <v>83</v>
      </c>
      <c r="N43" s="1">
        <v>84</v>
      </c>
      <c r="O43" s="1">
        <v>17</v>
      </c>
      <c r="P43" s="1" t="s">
        <v>21</v>
      </c>
      <c r="Q43" s="1" t="s">
        <v>22</v>
      </c>
      <c r="R43" s="1" t="s">
        <v>23</v>
      </c>
      <c r="S43" s="1">
        <v>83</v>
      </c>
      <c r="T43" s="1" t="s">
        <v>20</v>
      </c>
      <c r="U43" s="1" t="s">
        <v>24</v>
      </c>
      <c r="W43">
        <f>(Table1[[#This Row],[Assignments Avg]]*0.1)+(Table1[[#This Row],[Midterm Score]]*0.3)+(Table1[[#This Row],[Final Exam Score]]*0.45)+(Table1[[#This Row],[Project Score]]*0.1)</f>
        <v>79.149999999999991</v>
      </c>
      <c r="X43" s="1" t="str">
        <f>IF(OR(Table1[[#This Row],[Attendance %]]&lt;57,Table1[[#This Row],[Final Score]]&lt;45),"At-Risk","Ok")</f>
        <v>Ok</v>
      </c>
      <c r="Y43" s="1" t="str">
        <f>IF(Table1[[#This Row],[Study Hours]]&lt;5,"Low Study","Normal")</f>
        <v>Normal</v>
      </c>
      <c r="Z43" s="1">
        <f>Table1[[#This Row],[Final Exam Score]]-Table1[[#This Row],[Midterm Score]]</f>
        <v>5</v>
      </c>
      <c r="AA43" s="1" t="str">
        <f>IF(Table1[[#This Row],[Final Score]]&gt;=80,"A",IF(Table1[[#This Row],[Final Score]]&gt;=70,"B",IF(Table1[[#This Row],[Final Score]]&gt;=60,"C",IF(Table1[[#This Row],[Final Score]]&gt;=50,"D","F"))))</f>
        <v>A</v>
      </c>
      <c r="AB43" s="1">
        <f>Table1[[#This Row],[Final Score]]+5</f>
        <v>88</v>
      </c>
      <c r="AC43" s="1" t="str">
        <f>IF(Table1[[#This Row],[Final Score]]&gt;=40,"Pass","Fail")</f>
        <v>Pass</v>
      </c>
      <c r="AD43" t="str">
        <f>IF(OR(Table1[[#This Row],[Final Score]]&gt;=80,Table1[[#This Row],[Attendance %]]&gt;=90),"High Performer","normal")</f>
        <v>High Performer</v>
      </c>
      <c r="AE43" s="1" t="str">
        <f>IF(Table1[[#This Row],[Gender]]="Male","Boy","Girl")</f>
        <v>Girl</v>
      </c>
      <c r="AF43" s="1" t="str">
        <f>IF(Table1[[#This Row],[Final Score]]&gt;90,"Certificate","No Allow Certificate")</f>
        <v>No Allow Certificate</v>
      </c>
      <c r="AG43" s="1" t="str">
        <f>IF(Table1[[#This Row],[Extracurricular]]="Yes","Active","Not Active")</f>
        <v>Active</v>
      </c>
      <c r="AH43" s="1" t="str">
        <f>IF(Table1[[#This Row],[Parent Education]]="Graduate","Educated_Parent", "Other")</f>
        <v>Educated_Parent</v>
      </c>
      <c r="AI43" s="1" t="str">
        <f>IF(Table1[[#This Row],[Assignments Avg]]&lt;70,"Need Practice","Ok")</f>
        <v>Ok</v>
      </c>
      <c r="AJ43" s="1" t="str">
        <f>Table1[[#This Row],[Frist_Name ]]&amp;" -"&amp;Table1[[#This Row],[Class]]</f>
        <v>Anika -10</v>
      </c>
      <c r="AK43" s="1" t="str">
        <f>RIGHT(Table1[[#This Row],[Full Name ]],LEN(Table1[[#This Row],[Full Name ]])-SEARCH(" ",Table1[[#This Row],[Full Name ]]))</f>
        <v>Paul</v>
      </c>
      <c r="AL43" s="1" t="str">
        <f>LEFT(Table1[[#This Row],[Full Name ]],SEARCH(" ",Table1[[#This Row],[Full Name ]]))</f>
        <v xml:space="preserve">Anika </v>
      </c>
      <c r="AM43" s="1">
        <f>LEN(Table1[[#This Row],[Frist_Name ]])</f>
        <v>5</v>
      </c>
      <c r="AN43" s="1"/>
      <c r="AO43" s="1"/>
      <c r="AQ43">
        <f>GETPIVOTDATA("Final Score",$AP$38)</f>
        <v>69.61</v>
      </c>
    </row>
    <row r="44" spans="1:46" x14ac:dyDescent="0.3">
      <c r="A44" s="1">
        <v>43</v>
      </c>
      <c r="B44" s="1" t="s">
        <v>120</v>
      </c>
      <c r="C44" s="1" t="s">
        <v>121</v>
      </c>
      <c r="D44" t="str">
        <f>_xlfn.CONCAT(Table1[[#This Row],[Frist_Name ]]," ",Table1[[#This Row],[Last_Name]])</f>
        <v>Shivansh Tiwari</v>
      </c>
      <c r="E44" s="1">
        <v>16</v>
      </c>
      <c r="F44" s="1" t="s">
        <v>19</v>
      </c>
      <c r="G44" s="1">
        <v>10</v>
      </c>
      <c r="H44" s="1" t="s">
        <v>29</v>
      </c>
      <c r="I44" s="1">
        <v>64</v>
      </c>
      <c r="J44" s="1">
        <v>56</v>
      </c>
      <c r="K44" s="1">
        <v>41</v>
      </c>
      <c r="L44" s="1">
        <v>37</v>
      </c>
      <c r="M44" s="1">
        <v>47</v>
      </c>
      <c r="N44" s="1">
        <v>46</v>
      </c>
      <c r="O44" s="1">
        <v>5</v>
      </c>
      <c r="P44" s="1" t="s">
        <v>30</v>
      </c>
      <c r="Q44" s="1" t="s">
        <v>31</v>
      </c>
      <c r="R44" s="1" t="s">
        <v>33</v>
      </c>
      <c r="S44" s="1">
        <v>41</v>
      </c>
      <c r="T44" s="1" t="s">
        <v>34</v>
      </c>
      <c r="U44" s="1" t="s">
        <v>35</v>
      </c>
      <c r="W44">
        <f>(Table1[[#This Row],[Assignments Avg]]*0.1)+(Table1[[#This Row],[Midterm Score]]*0.3)+(Table1[[#This Row],[Final Exam Score]]*0.45)+(Table1[[#This Row],[Project Score]]*0.1)</f>
        <v>39.25</v>
      </c>
      <c r="X44" s="1" t="str">
        <f>IF(OR(Table1[[#This Row],[Attendance %]]&lt;57,Table1[[#This Row],[Final Score]]&lt;45),"At-Risk","Ok")</f>
        <v>At-Risk</v>
      </c>
      <c r="Y44" s="1" t="str">
        <f>IF(Table1[[#This Row],[Study Hours]]&lt;5,"Low Study","Normal")</f>
        <v>Normal</v>
      </c>
      <c r="Z44" s="1">
        <f>Table1[[#This Row],[Final Exam Score]]-Table1[[#This Row],[Midterm Score]]</f>
        <v>-4</v>
      </c>
      <c r="AA44" s="1" t="str">
        <f>IF(Table1[[#This Row],[Final Score]]&gt;=80,"A",IF(Table1[[#This Row],[Final Score]]&gt;=70,"B",IF(Table1[[#This Row],[Final Score]]&gt;=60,"C",IF(Table1[[#This Row],[Final Score]]&gt;=50,"D","F"))))</f>
        <v>F</v>
      </c>
      <c r="AB44" s="1">
        <f>Table1[[#This Row],[Final Score]]+5</f>
        <v>46</v>
      </c>
      <c r="AC44" s="1" t="str">
        <f>IF(Table1[[#This Row],[Final Score]]&gt;=40,"Pass","Fail")</f>
        <v>Pass</v>
      </c>
      <c r="AD44" t="str">
        <f>IF(OR(Table1[[#This Row],[Final Score]]&gt;=80,Table1[[#This Row],[Attendance %]]&gt;=90),"High Performer","normal")</f>
        <v>normal</v>
      </c>
      <c r="AE44" s="1" t="str">
        <f>IF(Table1[[#This Row],[Gender]]="Male","Boy","Girl")</f>
        <v>Boy</v>
      </c>
      <c r="AF44" s="1" t="str">
        <f>IF(Table1[[#This Row],[Final Score]]&gt;90,"Certificate","No Allow Certificate")</f>
        <v>No Allow Certificate</v>
      </c>
      <c r="AG44" s="1" t="str">
        <f>IF(Table1[[#This Row],[Extracurricular]]="Yes","Active","Not Active")</f>
        <v>Not Active</v>
      </c>
      <c r="AH44" s="1" t="str">
        <f>IF(Table1[[#This Row],[Parent Education]]="Graduate","Educated_Parent", "Other")</f>
        <v>Other</v>
      </c>
      <c r="AI44" s="1" t="str">
        <f>IF(Table1[[#This Row],[Assignments Avg]]&lt;70,"Need Practice","Ok")</f>
        <v>Need Practice</v>
      </c>
      <c r="AJ44" s="1" t="str">
        <f>Table1[[#This Row],[Frist_Name ]]&amp;" -"&amp;Table1[[#This Row],[Class]]</f>
        <v>Shivansh -10</v>
      </c>
      <c r="AK44" s="1" t="str">
        <f>RIGHT(Table1[[#This Row],[Full Name ]],LEN(Table1[[#This Row],[Full Name ]])-SEARCH(" ",Table1[[#This Row],[Full Name ]]))</f>
        <v>Tiwari</v>
      </c>
      <c r="AL44" s="1" t="str">
        <f>LEFT(Table1[[#This Row],[Full Name ]],SEARCH(" ",Table1[[#This Row],[Full Name ]]))</f>
        <v xml:space="preserve">Shivansh </v>
      </c>
      <c r="AM44" s="1">
        <f>LEN(Table1[[#This Row],[Frist_Name ]])</f>
        <v>8</v>
      </c>
      <c r="AN44" s="1"/>
      <c r="AO44" s="1"/>
    </row>
    <row r="45" spans="1:46" x14ac:dyDescent="0.3">
      <c r="A45" s="1">
        <v>44</v>
      </c>
      <c r="B45" s="1" t="s">
        <v>122</v>
      </c>
      <c r="C45" s="1" t="s">
        <v>123</v>
      </c>
      <c r="D45" t="str">
        <f>_xlfn.CONCAT(Table1[[#This Row],[Frist_Name ]]," ",Table1[[#This Row],[Last_Name]])</f>
        <v>Anushka Roy</v>
      </c>
      <c r="E45" s="1">
        <v>15</v>
      </c>
      <c r="F45" s="1" t="s">
        <v>25</v>
      </c>
      <c r="G45" s="1">
        <v>11</v>
      </c>
      <c r="H45" s="1" t="s">
        <v>29</v>
      </c>
      <c r="I45" s="1">
        <v>95</v>
      </c>
      <c r="J45" s="1">
        <v>92</v>
      </c>
      <c r="K45" s="1">
        <v>89</v>
      </c>
      <c r="L45" s="1">
        <v>93</v>
      </c>
      <c r="M45" s="1">
        <v>94</v>
      </c>
      <c r="N45" s="1">
        <v>91</v>
      </c>
      <c r="O45" s="1">
        <v>23</v>
      </c>
      <c r="P45" s="1" t="s">
        <v>21</v>
      </c>
      <c r="Q45" s="1" t="s">
        <v>26</v>
      </c>
      <c r="R45" s="1" t="s">
        <v>27</v>
      </c>
      <c r="S45" s="1">
        <v>92</v>
      </c>
      <c r="T45" s="1" t="s">
        <v>28</v>
      </c>
      <c r="U45" s="1" t="s">
        <v>24</v>
      </c>
      <c r="W45">
        <f>(Table1[[#This Row],[Assignments Avg]]*0.1)+(Table1[[#This Row],[Midterm Score]]*0.3)+(Table1[[#This Row],[Final Exam Score]]*0.45)+(Table1[[#This Row],[Project Score]]*0.1)</f>
        <v>87.15</v>
      </c>
      <c r="X45" s="1" t="str">
        <f>IF(OR(Table1[[#This Row],[Attendance %]]&lt;57,Table1[[#This Row],[Final Score]]&lt;45),"At-Risk","Ok")</f>
        <v>Ok</v>
      </c>
      <c r="Y45" s="1" t="str">
        <f>IF(Table1[[#This Row],[Study Hours]]&lt;5,"Low Study","Normal")</f>
        <v>Normal</v>
      </c>
      <c r="Z45" s="1">
        <f>Table1[[#This Row],[Final Exam Score]]-Table1[[#This Row],[Midterm Score]]</f>
        <v>4</v>
      </c>
      <c r="AA45" s="1" t="str">
        <f>IF(Table1[[#This Row],[Final Score]]&gt;=80,"A",IF(Table1[[#This Row],[Final Score]]&gt;=70,"B",IF(Table1[[#This Row],[Final Score]]&gt;=60,"C",IF(Table1[[#This Row],[Final Score]]&gt;=50,"D","F"))))</f>
        <v>A</v>
      </c>
      <c r="AB45" s="1">
        <f>Table1[[#This Row],[Final Score]]+5</f>
        <v>97</v>
      </c>
      <c r="AC45" s="1" t="str">
        <f>IF(Table1[[#This Row],[Final Score]]&gt;=40,"Pass","Fail")</f>
        <v>Pass</v>
      </c>
      <c r="AD45" t="str">
        <f>IF(OR(Table1[[#This Row],[Final Score]]&gt;=80,Table1[[#This Row],[Attendance %]]&gt;=90),"High Performer","normal")</f>
        <v>High Performer</v>
      </c>
      <c r="AE45" s="1" t="str">
        <f>IF(Table1[[#This Row],[Gender]]="Male","Boy","Girl")</f>
        <v>Girl</v>
      </c>
      <c r="AF45" s="1" t="str">
        <f>IF(Table1[[#This Row],[Final Score]]&gt;90,"Certificate","No Allow Certificate")</f>
        <v>Certificate</v>
      </c>
      <c r="AG45" s="1" t="str">
        <f>IF(Table1[[#This Row],[Extracurricular]]="Yes","Active","Not Active")</f>
        <v>Active</v>
      </c>
      <c r="AH45" s="1" t="str">
        <f>IF(Table1[[#This Row],[Parent Education]]="Graduate","Educated_Parent", "Other")</f>
        <v>Other</v>
      </c>
      <c r="AI45" s="1" t="str">
        <f>IF(Table1[[#This Row],[Assignments Avg]]&lt;70,"Need Practice","Ok")</f>
        <v>Ok</v>
      </c>
      <c r="AJ45" s="1" t="str">
        <f>Table1[[#This Row],[Frist_Name ]]&amp;" -"&amp;Table1[[#This Row],[Class]]</f>
        <v>Anushka -11</v>
      </c>
      <c r="AK45" s="1" t="str">
        <f>RIGHT(Table1[[#This Row],[Full Name ]],LEN(Table1[[#This Row],[Full Name ]])-SEARCH(" ",Table1[[#This Row],[Full Name ]]))</f>
        <v>Roy</v>
      </c>
      <c r="AL45" s="1" t="str">
        <f>LEFT(Table1[[#This Row],[Full Name ]],SEARCH(" ",Table1[[#This Row],[Full Name ]]))</f>
        <v xml:space="preserve">Anushka </v>
      </c>
      <c r="AM45" s="1">
        <f>LEN(Table1[[#This Row],[Frist_Name ]])</f>
        <v>7</v>
      </c>
      <c r="AN45" s="1"/>
      <c r="AO45" s="1"/>
    </row>
    <row r="46" spans="1:46" x14ac:dyDescent="0.3">
      <c r="A46" s="1">
        <v>45</v>
      </c>
      <c r="B46" s="1" t="s">
        <v>124</v>
      </c>
      <c r="C46" s="1" t="s">
        <v>125</v>
      </c>
      <c r="D46" t="str">
        <f>_xlfn.CONCAT(Table1[[#This Row],[Frist_Name ]]," ",Table1[[#This Row],[Last_Name]])</f>
        <v>Viraj Bhatt</v>
      </c>
      <c r="E46" s="1">
        <v>16</v>
      </c>
      <c r="F46" s="1" t="s">
        <v>19</v>
      </c>
      <c r="G46" s="1">
        <v>10</v>
      </c>
      <c r="H46" s="1" t="s">
        <v>32</v>
      </c>
      <c r="I46" s="1">
        <v>81</v>
      </c>
      <c r="J46" s="1">
        <v>75</v>
      </c>
      <c r="K46" s="1">
        <v>65</v>
      </c>
      <c r="L46" s="1">
        <v>70</v>
      </c>
      <c r="M46" s="1">
        <v>73</v>
      </c>
      <c r="N46" s="1">
        <v>71</v>
      </c>
      <c r="O46" s="1">
        <v>12</v>
      </c>
      <c r="P46" s="1" t="s">
        <v>30</v>
      </c>
      <c r="Q46" s="1" t="s">
        <v>22</v>
      </c>
      <c r="R46" s="1" t="s">
        <v>23</v>
      </c>
      <c r="S46" s="1">
        <v>69</v>
      </c>
      <c r="T46" s="1" t="s">
        <v>29</v>
      </c>
      <c r="U46" s="1" t="s">
        <v>24</v>
      </c>
      <c r="W46">
        <f>(Table1[[#This Row],[Assignments Avg]]*0.1)+(Table1[[#This Row],[Midterm Score]]*0.3)+(Table1[[#This Row],[Final Exam Score]]*0.45)+(Table1[[#This Row],[Project Score]]*0.1)</f>
        <v>65.8</v>
      </c>
      <c r="X46" s="1" t="str">
        <f>IF(OR(Table1[[#This Row],[Attendance %]]&lt;57,Table1[[#This Row],[Final Score]]&lt;45),"At-Risk","Ok")</f>
        <v>Ok</v>
      </c>
      <c r="Y46" s="1" t="str">
        <f>IF(Table1[[#This Row],[Study Hours]]&lt;5,"Low Study","Normal")</f>
        <v>Normal</v>
      </c>
      <c r="Z46" s="1">
        <f>Table1[[#This Row],[Final Exam Score]]-Table1[[#This Row],[Midterm Score]]</f>
        <v>5</v>
      </c>
      <c r="AA46" s="1" t="str">
        <f>IF(Table1[[#This Row],[Final Score]]&gt;=80,"A",IF(Table1[[#This Row],[Final Score]]&gt;=70,"B",IF(Table1[[#This Row],[Final Score]]&gt;=60,"C",IF(Table1[[#This Row],[Final Score]]&gt;=50,"D","F"))))</f>
        <v>C</v>
      </c>
      <c r="AB46" s="1">
        <f>Table1[[#This Row],[Final Score]]+5</f>
        <v>74</v>
      </c>
      <c r="AC46" s="1" t="str">
        <f>IF(Table1[[#This Row],[Final Score]]&gt;=40,"Pass","Fail")</f>
        <v>Pass</v>
      </c>
      <c r="AD46" t="str">
        <f>IF(OR(Table1[[#This Row],[Final Score]]&gt;=80,Table1[[#This Row],[Attendance %]]&gt;=90),"High Performer","normal")</f>
        <v>normal</v>
      </c>
      <c r="AE46" s="1" t="str">
        <f>IF(Table1[[#This Row],[Gender]]="Male","Boy","Girl")</f>
        <v>Boy</v>
      </c>
      <c r="AF46" s="1" t="str">
        <f>IF(Table1[[#This Row],[Final Score]]&gt;90,"Certificate","No Allow Certificate")</f>
        <v>No Allow Certificate</v>
      </c>
      <c r="AG46" s="1" t="str">
        <f>IF(Table1[[#This Row],[Extracurricular]]="Yes","Active","Not Active")</f>
        <v>Not Active</v>
      </c>
      <c r="AH46" s="1" t="str">
        <f>IF(Table1[[#This Row],[Parent Education]]="Graduate","Educated_Parent", "Other")</f>
        <v>Educated_Parent</v>
      </c>
      <c r="AI46" s="1" t="str">
        <f>IF(Table1[[#This Row],[Assignments Avg]]&lt;70,"Need Practice","Ok")</f>
        <v>Ok</v>
      </c>
      <c r="AJ46" s="1" t="str">
        <f>Table1[[#This Row],[Frist_Name ]]&amp;" -"&amp;Table1[[#This Row],[Class]]</f>
        <v>Viraj -10</v>
      </c>
      <c r="AK46" s="1" t="str">
        <f>RIGHT(Table1[[#This Row],[Full Name ]],LEN(Table1[[#This Row],[Full Name ]])-SEARCH(" ",Table1[[#This Row],[Full Name ]]))</f>
        <v>Bhatt</v>
      </c>
      <c r="AL46" s="1" t="str">
        <f>LEFT(Table1[[#This Row],[Full Name ]],SEARCH(" ",Table1[[#This Row],[Full Name ]]))</f>
        <v xml:space="preserve">Viraj </v>
      </c>
      <c r="AM46" s="1">
        <f>LEN(Table1[[#This Row],[Frist_Name ]])</f>
        <v>5</v>
      </c>
      <c r="AN46" s="1"/>
      <c r="AO46" s="1"/>
    </row>
    <row r="47" spans="1:46" x14ac:dyDescent="0.3">
      <c r="A47" s="1">
        <v>46</v>
      </c>
      <c r="B47" s="1" t="s">
        <v>126</v>
      </c>
      <c r="C47" s="1" t="s">
        <v>127</v>
      </c>
      <c r="D47" t="str">
        <f>_xlfn.CONCAT(Table1[[#This Row],[Frist_Name ]]," ",Table1[[#This Row],[Last_Name]])</f>
        <v>Ishita Das</v>
      </c>
      <c r="E47" s="1">
        <v>15</v>
      </c>
      <c r="F47" s="1" t="s">
        <v>25</v>
      </c>
      <c r="G47" s="1">
        <v>10</v>
      </c>
      <c r="H47" s="1" t="s">
        <v>32</v>
      </c>
      <c r="I47" s="1">
        <v>86</v>
      </c>
      <c r="J47" s="1">
        <v>80</v>
      </c>
      <c r="K47" s="1">
        <v>72</v>
      </c>
      <c r="L47" s="1">
        <v>77</v>
      </c>
      <c r="M47" s="1">
        <v>78</v>
      </c>
      <c r="N47" s="1">
        <v>79</v>
      </c>
      <c r="O47" s="1">
        <v>15</v>
      </c>
      <c r="P47" s="1" t="s">
        <v>21</v>
      </c>
      <c r="Q47" s="1" t="s">
        <v>22</v>
      </c>
      <c r="R47" s="1" t="s">
        <v>23</v>
      </c>
      <c r="S47" s="1">
        <v>76</v>
      </c>
      <c r="T47" s="1" t="s">
        <v>29</v>
      </c>
      <c r="U47" s="1" t="s">
        <v>24</v>
      </c>
      <c r="W47">
        <f>(Table1[[#This Row],[Assignments Avg]]*0.1)+(Table1[[#This Row],[Midterm Score]]*0.3)+(Table1[[#This Row],[Final Exam Score]]*0.45)+(Table1[[#This Row],[Project Score]]*0.1)</f>
        <v>72.05</v>
      </c>
      <c r="X47" s="1" t="str">
        <f>IF(OR(Table1[[#This Row],[Attendance %]]&lt;57,Table1[[#This Row],[Final Score]]&lt;45),"At-Risk","Ok")</f>
        <v>Ok</v>
      </c>
      <c r="Y47" s="1" t="str">
        <f>IF(Table1[[#This Row],[Study Hours]]&lt;5,"Low Study","Normal")</f>
        <v>Normal</v>
      </c>
      <c r="Z47" s="1">
        <f>Table1[[#This Row],[Final Exam Score]]-Table1[[#This Row],[Midterm Score]]</f>
        <v>5</v>
      </c>
      <c r="AA47" s="1" t="str">
        <f>IF(Table1[[#This Row],[Final Score]]&gt;=80,"A",IF(Table1[[#This Row],[Final Score]]&gt;=70,"B",IF(Table1[[#This Row],[Final Score]]&gt;=60,"C",IF(Table1[[#This Row],[Final Score]]&gt;=50,"D","F"))))</f>
        <v>B</v>
      </c>
      <c r="AB47" s="1">
        <f>Table1[[#This Row],[Final Score]]+5</f>
        <v>81</v>
      </c>
      <c r="AC47" s="1" t="str">
        <f>IF(Table1[[#This Row],[Final Score]]&gt;=40,"Pass","Fail")</f>
        <v>Pass</v>
      </c>
      <c r="AD47" t="str">
        <f>IF(OR(Table1[[#This Row],[Final Score]]&gt;=80,Table1[[#This Row],[Attendance %]]&gt;=90),"High Performer","normal")</f>
        <v>normal</v>
      </c>
      <c r="AE47" s="1" t="str">
        <f>IF(Table1[[#This Row],[Gender]]="Male","Boy","Girl")</f>
        <v>Girl</v>
      </c>
      <c r="AF47" s="1" t="str">
        <f>IF(Table1[[#This Row],[Final Score]]&gt;90,"Certificate","No Allow Certificate")</f>
        <v>No Allow Certificate</v>
      </c>
      <c r="AG47" s="1" t="str">
        <f>IF(Table1[[#This Row],[Extracurricular]]="Yes","Active","Not Active")</f>
        <v>Active</v>
      </c>
      <c r="AH47" s="1" t="str">
        <f>IF(Table1[[#This Row],[Parent Education]]="Graduate","Educated_Parent", "Other")</f>
        <v>Educated_Parent</v>
      </c>
      <c r="AI47" s="1" t="str">
        <f>IF(Table1[[#This Row],[Assignments Avg]]&lt;70,"Need Practice","Ok")</f>
        <v>Ok</v>
      </c>
      <c r="AJ47" s="1" t="str">
        <f>Table1[[#This Row],[Frist_Name ]]&amp;" -"&amp;Table1[[#This Row],[Class]]</f>
        <v>Ishita -10</v>
      </c>
      <c r="AK47" s="1" t="str">
        <f>RIGHT(Table1[[#This Row],[Full Name ]],LEN(Table1[[#This Row],[Full Name ]])-SEARCH(" ",Table1[[#This Row],[Full Name ]]))</f>
        <v>Das</v>
      </c>
      <c r="AL47" s="1" t="str">
        <f>LEFT(Table1[[#This Row],[Full Name ]],SEARCH(" ",Table1[[#This Row],[Full Name ]]))</f>
        <v xml:space="preserve">Ishita </v>
      </c>
      <c r="AM47" s="1">
        <f>LEN(Table1[[#This Row],[Frist_Name ]])</f>
        <v>6</v>
      </c>
      <c r="AN47" s="1"/>
      <c r="AO47" s="1"/>
    </row>
    <row r="48" spans="1:46" x14ac:dyDescent="0.3">
      <c r="A48" s="1">
        <v>47</v>
      </c>
      <c r="B48" s="1" t="s">
        <v>128</v>
      </c>
      <c r="C48" s="1" t="s">
        <v>129</v>
      </c>
      <c r="D48" t="str">
        <f>_xlfn.CONCAT(Table1[[#This Row],[Frist_Name ]]," ",Table1[[#This Row],[Last_Name]])</f>
        <v>Parth Pandey</v>
      </c>
      <c r="E48" s="1">
        <v>16</v>
      </c>
      <c r="F48" s="1" t="s">
        <v>19</v>
      </c>
      <c r="G48" s="1">
        <v>11</v>
      </c>
      <c r="H48" s="1" t="s">
        <v>34</v>
      </c>
      <c r="I48" s="1">
        <v>73</v>
      </c>
      <c r="J48" s="1">
        <v>67</v>
      </c>
      <c r="K48" s="1">
        <v>52</v>
      </c>
      <c r="L48" s="1">
        <v>47</v>
      </c>
      <c r="M48" s="1">
        <v>58</v>
      </c>
      <c r="N48" s="1">
        <v>55</v>
      </c>
      <c r="O48" s="1">
        <v>8</v>
      </c>
      <c r="P48" s="1" t="s">
        <v>30</v>
      </c>
      <c r="Q48" s="1" t="s">
        <v>31</v>
      </c>
      <c r="R48" s="1" t="s">
        <v>23</v>
      </c>
      <c r="S48" s="1">
        <v>55</v>
      </c>
      <c r="T48" s="1" t="s">
        <v>32</v>
      </c>
      <c r="U48" s="1" t="s">
        <v>24</v>
      </c>
      <c r="W48">
        <f>(Table1[[#This Row],[Assignments Avg]]*0.1)+(Table1[[#This Row],[Midterm Score]]*0.3)+(Table1[[#This Row],[Final Exam Score]]*0.45)+(Table1[[#This Row],[Project Score]]*0.1)</f>
        <v>49.25</v>
      </c>
      <c r="X48" s="1" t="str">
        <f>IF(OR(Table1[[#This Row],[Attendance %]]&lt;57,Table1[[#This Row],[Final Score]]&lt;45),"At-Risk","Ok")</f>
        <v>Ok</v>
      </c>
      <c r="Y48" s="1" t="str">
        <f>IF(Table1[[#This Row],[Study Hours]]&lt;5,"Low Study","Normal")</f>
        <v>Normal</v>
      </c>
      <c r="Z48" s="1">
        <f>Table1[[#This Row],[Final Exam Score]]-Table1[[#This Row],[Midterm Score]]</f>
        <v>-5</v>
      </c>
      <c r="AA48" s="1" t="str">
        <f>IF(Table1[[#This Row],[Final Score]]&gt;=80,"A",IF(Table1[[#This Row],[Final Score]]&gt;=70,"B",IF(Table1[[#This Row],[Final Score]]&gt;=60,"C",IF(Table1[[#This Row],[Final Score]]&gt;=50,"D","F"))))</f>
        <v>D</v>
      </c>
      <c r="AB48" s="1">
        <f>Table1[[#This Row],[Final Score]]+5</f>
        <v>60</v>
      </c>
      <c r="AC48" s="1" t="str">
        <f>IF(Table1[[#This Row],[Final Score]]&gt;=40,"Pass","Fail")</f>
        <v>Pass</v>
      </c>
      <c r="AD48" t="str">
        <f>IF(OR(Table1[[#This Row],[Final Score]]&gt;=80,Table1[[#This Row],[Attendance %]]&gt;=90),"High Performer","normal")</f>
        <v>normal</v>
      </c>
      <c r="AE48" s="1" t="str">
        <f>IF(Table1[[#This Row],[Gender]]="Male","Boy","Girl")</f>
        <v>Boy</v>
      </c>
      <c r="AF48" s="1" t="str">
        <f>IF(Table1[[#This Row],[Final Score]]&gt;90,"Certificate","No Allow Certificate")</f>
        <v>No Allow Certificate</v>
      </c>
      <c r="AG48" s="1" t="str">
        <f>IF(Table1[[#This Row],[Extracurricular]]="Yes","Active","Not Active")</f>
        <v>Not Active</v>
      </c>
      <c r="AH48" s="1" t="str">
        <f>IF(Table1[[#This Row],[Parent Education]]="Graduate","Educated_Parent", "Other")</f>
        <v>Other</v>
      </c>
      <c r="AI48" s="1" t="str">
        <f>IF(Table1[[#This Row],[Assignments Avg]]&lt;70,"Need Practice","Ok")</f>
        <v>Need Practice</v>
      </c>
      <c r="AJ48" s="1" t="str">
        <f>Table1[[#This Row],[Frist_Name ]]&amp;" -"&amp;Table1[[#This Row],[Class]]</f>
        <v>Parth -11</v>
      </c>
      <c r="AK48" s="1" t="str">
        <f>RIGHT(Table1[[#This Row],[Full Name ]],LEN(Table1[[#This Row],[Full Name ]])-SEARCH(" ",Table1[[#This Row],[Full Name ]]))</f>
        <v>Pandey</v>
      </c>
      <c r="AL48" s="1" t="str">
        <f>LEFT(Table1[[#This Row],[Full Name ]],SEARCH(" ",Table1[[#This Row],[Full Name ]]))</f>
        <v xml:space="preserve">Parth </v>
      </c>
      <c r="AM48" s="1">
        <f>LEN(Table1[[#This Row],[Frist_Name ]])</f>
        <v>5</v>
      </c>
      <c r="AN48" s="1"/>
      <c r="AO48" s="1"/>
    </row>
    <row r="49" spans="1:46" x14ac:dyDescent="0.3">
      <c r="A49" s="1">
        <v>48</v>
      </c>
      <c r="B49" s="1" t="s">
        <v>130</v>
      </c>
      <c r="C49" s="1" t="s">
        <v>131</v>
      </c>
      <c r="D49" t="str">
        <f>_xlfn.CONCAT(Table1[[#This Row],[Frist_Name ]]," ",Table1[[#This Row],[Last_Name]])</f>
        <v>Alisha Fernandes</v>
      </c>
      <c r="E49" s="1">
        <v>15</v>
      </c>
      <c r="F49" s="1" t="s">
        <v>25</v>
      </c>
      <c r="G49" s="1">
        <v>11</v>
      </c>
      <c r="H49" s="1" t="s">
        <v>34</v>
      </c>
      <c r="I49" s="1">
        <v>98</v>
      </c>
      <c r="J49" s="1">
        <v>94</v>
      </c>
      <c r="K49" s="1">
        <v>91</v>
      </c>
      <c r="L49" s="1">
        <v>96</v>
      </c>
      <c r="M49" s="1">
        <v>95</v>
      </c>
      <c r="N49" s="1">
        <v>97</v>
      </c>
      <c r="O49" s="1">
        <v>25</v>
      </c>
      <c r="P49" s="1" t="s">
        <v>21</v>
      </c>
      <c r="Q49" s="1" t="s">
        <v>26</v>
      </c>
      <c r="R49" s="1" t="s">
        <v>27</v>
      </c>
      <c r="S49" s="1">
        <v>95</v>
      </c>
      <c r="T49" s="1" t="s">
        <v>28</v>
      </c>
      <c r="U49" s="1" t="s">
        <v>24</v>
      </c>
      <c r="W49">
        <f>(Table1[[#This Row],[Assignments Avg]]*0.1)+(Table1[[#This Row],[Midterm Score]]*0.3)+(Table1[[#This Row],[Final Exam Score]]*0.45)+(Table1[[#This Row],[Project Score]]*0.1)</f>
        <v>89.4</v>
      </c>
      <c r="X49" s="1" t="str">
        <f>IF(OR(Table1[[#This Row],[Attendance %]]&lt;57,Table1[[#This Row],[Final Score]]&lt;45),"At-Risk","Ok")</f>
        <v>Ok</v>
      </c>
      <c r="Y49" s="1" t="str">
        <f>IF(Table1[[#This Row],[Study Hours]]&lt;5,"Low Study","Normal")</f>
        <v>Normal</v>
      </c>
      <c r="Z49" s="1">
        <f>Table1[[#This Row],[Final Exam Score]]-Table1[[#This Row],[Midterm Score]]</f>
        <v>5</v>
      </c>
      <c r="AA49" s="1" t="str">
        <f>IF(Table1[[#This Row],[Final Score]]&gt;=80,"A",IF(Table1[[#This Row],[Final Score]]&gt;=70,"B",IF(Table1[[#This Row],[Final Score]]&gt;=60,"C",IF(Table1[[#This Row],[Final Score]]&gt;=50,"D","F"))))</f>
        <v>A</v>
      </c>
      <c r="AB49" s="1">
        <f>Table1[[#This Row],[Final Score]]+5</f>
        <v>100</v>
      </c>
      <c r="AC49" s="1" t="str">
        <f>IF(Table1[[#This Row],[Final Score]]&gt;=40,"Pass","Fail")</f>
        <v>Pass</v>
      </c>
      <c r="AD49" t="str">
        <f>IF(OR(Table1[[#This Row],[Final Score]]&gt;=80,Table1[[#This Row],[Attendance %]]&gt;=90),"High Performer","normal")</f>
        <v>High Performer</v>
      </c>
      <c r="AE49" s="1" t="str">
        <f>IF(Table1[[#This Row],[Gender]]="Male","Boy","Girl")</f>
        <v>Girl</v>
      </c>
      <c r="AF49" s="1" t="str">
        <f>IF(Table1[[#This Row],[Final Score]]&gt;90,"Certificate","No Allow Certificate")</f>
        <v>Certificate</v>
      </c>
      <c r="AG49" s="1" t="str">
        <f>IF(Table1[[#This Row],[Extracurricular]]="Yes","Active","Not Active")</f>
        <v>Active</v>
      </c>
      <c r="AH49" s="1" t="str">
        <f>IF(Table1[[#This Row],[Parent Education]]="Graduate","Educated_Parent", "Other")</f>
        <v>Other</v>
      </c>
      <c r="AI49" s="1" t="str">
        <f>IF(Table1[[#This Row],[Assignments Avg]]&lt;70,"Need Practice","Ok")</f>
        <v>Ok</v>
      </c>
      <c r="AJ49" s="1" t="str">
        <f>Table1[[#This Row],[Frist_Name ]]&amp;" -"&amp;Table1[[#This Row],[Class]]</f>
        <v>Alisha -11</v>
      </c>
      <c r="AK49" s="1" t="str">
        <f>RIGHT(Table1[[#This Row],[Full Name ]],LEN(Table1[[#This Row],[Full Name ]])-SEARCH(" ",Table1[[#This Row],[Full Name ]]))</f>
        <v>Fernandes</v>
      </c>
      <c r="AL49" s="1" t="str">
        <f>LEFT(Table1[[#This Row],[Full Name ]],SEARCH(" ",Table1[[#This Row],[Full Name ]]))</f>
        <v xml:space="preserve">Alisha </v>
      </c>
      <c r="AM49" s="1">
        <f>LEN(Table1[[#This Row],[Frist_Name ]])</f>
        <v>6</v>
      </c>
      <c r="AN49" s="1"/>
      <c r="AO49" s="1"/>
      <c r="AP49" s="5" t="s">
        <v>208</v>
      </c>
      <c r="AQ49" s="5"/>
      <c r="AR49" s="5"/>
      <c r="AS49" s="5"/>
      <c r="AT49" s="5"/>
    </row>
    <row r="50" spans="1:46" x14ac:dyDescent="0.3">
      <c r="A50" s="1">
        <v>49</v>
      </c>
      <c r="B50" s="1" t="s">
        <v>132</v>
      </c>
      <c r="C50" s="1" t="s">
        <v>133</v>
      </c>
      <c r="D50" t="str">
        <f>_xlfn.CONCAT(Table1[[#This Row],[Frist_Name ]]," ",Table1[[#This Row],[Last_Name]])</f>
        <v>Neil Thomas</v>
      </c>
      <c r="E50" s="1">
        <v>16</v>
      </c>
      <c r="F50" s="1" t="s">
        <v>19</v>
      </c>
      <c r="G50" s="1">
        <v>10</v>
      </c>
      <c r="H50" s="1" t="s">
        <v>20</v>
      </c>
      <c r="I50" s="1">
        <v>60</v>
      </c>
      <c r="J50" s="1">
        <v>54</v>
      </c>
      <c r="K50" s="1">
        <v>38</v>
      </c>
      <c r="L50" s="1">
        <v>34</v>
      </c>
      <c r="M50" s="1">
        <v>46</v>
      </c>
      <c r="N50" s="1">
        <v>44</v>
      </c>
      <c r="O50" s="1">
        <v>5</v>
      </c>
      <c r="P50" s="1" t="s">
        <v>30</v>
      </c>
      <c r="Q50" s="1" t="s">
        <v>31</v>
      </c>
      <c r="R50" s="1" t="s">
        <v>33</v>
      </c>
      <c r="S50" s="1">
        <v>39</v>
      </c>
      <c r="T50" s="1" t="s">
        <v>36</v>
      </c>
      <c r="U50" s="1" t="s">
        <v>35</v>
      </c>
      <c r="W50">
        <f>(Table1[[#This Row],[Assignments Avg]]*0.1)+(Table1[[#This Row],[Midterm Score]]*0.3)+(Table1[[#This Row],[Final Exam Score]]*0.45)+(Table1[[#This Row],[Project Score]]*0.1)</f>
        <v>36.700000000000003</v>
      </c>
      <c r="X50" s="1" t="str">
        <f>IF(OR(Table1[[#This Row],[Attendance %]]&lt;57,Table1[[#This Row],[Final Score]]&lt;45),"At-Risk","Ok")</f>
        <v>At-Risk</v>
      </c>
      <c r="Y50" s="1" t="str">
        <f>IF(Table1[[#This Row],[Study Hours]]&lt;5,"Low Study","Normal")</f>
        <v>Normal</v>
      </c>
      <c r="Z50" s="1">
        <f>Table1[[#This Row],[Final Exam Score]]-Table1[[#This Row],[Midterm Score]]</f>
        <v>-4</v>
      </c>
      <c r="AA50" s="1" t="str">
        <f>IF(Table1[[#This Row],[Final Score]]&gt;=80,"A",IF(Table1[[#This Row],[Final Score]]&gt;=70,"B",IF(Table1[[#This Row],[Final Score]]&gt;=60,"C",IF(Table1[[#This Row],[Final Score]]&gt;=50,"D","F"))))</f>
        <v>F</v>
      </c>
      <c r="AB50" s="1">
        <f>Table1[[#This Row],[Final Score]]+5</f>
        <v>44</v>
      </c>
      <c r="AC50" s="1" t="str">
        <f>IF(Table1[[#This Row],[Final Score]]&gt;=40,"Pass","Fail")</f>
        <v>Fail</v>
      </c>
      <c r="AD50" t="str">
        <f>IF(OR(Table1[[#This Row],[Final Score]]&gt;=80,Table1[[#This Row],[Attendance %]]&gt;=90),"High Performer","normal")</f>
        <v>normal</v>
      </c>
      <c r="AE50" s="1" t="str">
        <f>IF(Table1[[#This Row],[Gender]]="Male","Boy","Girl")</f>
        <v>Boy</v>
      </c>
      <c r="AF50" s="1" t="str">
        <f>IF(Table1[[#This Row],[Final Score]]&gt;90,"Certificate","No Allow Certificate")</f>
        <v>No Allow Certificate</v>
      </c>
      <c r="AG50" s="1" t="str">
        <f>IF(Table1[[#This Row],[Extracurricular]]="Yes","Active","Not Active")</f>
        <v>Not Active</v>
      </c>
      <c r="AH50" s="1" t="str">
        <f>IF(Table1[[#This Row],[Parent Education]]="Graduate","Educated_Parent", "Other")</f>
        <v>Other</v>
      </c>
      <c r="AI50" s="1" t="str">
        <f>IF(Table1[[#This Row],[Assignments Avg]]&lt;70,"Need Practice","Ok")</f>
        <v>Need Practice</v>
      </c>
      <c r="AJ50" s="1" t="str">
        <f>Table1[[#This Row],[Frist_Name ]]&amp;" -"&amp;Table1[[#This Row],[Class]]</f>
        <v>Neil -10</v>
      </c>
      <c r="AK50" s="1" t="str">
        <f>RIGHT(Table1[[#This Row],[Full Name ]],LEN(Table1[[#This Row],[Full Name ]])-SEARCH(" ",Table1[[#This Row],[Full Name ]]))</f>
        <v>Thomas</v>
      </c>
      <c r="AL50" s="1" t="str">
        <f>LEFT(Table1[[#This Row],[Full Name ]],SEARCH(" ",Table1[[#This Row],[Full Name ]]))</f>
        <v xml:space="preserve">Neil </v>
      </c>
      <c r="AM50" s="1">
        <f>LEN(Table1[[#This Row],[Frist_Name ]])</f>
        <v>4</v>
      </c>
      <c r="AN50" s="1"/>
      <c r="AO50" s="1"/>
    </row>
    <row r="51" spans="1:46" x14ac:dyDescent="0.3">
      <c r="A51" s="1">
        <v>50</v>
      </c>
      <c r="B51" s="1" t="s">
        <v>134</v>
      </c>
      <c r="C51" s="1" t="s">
        <v>62</v>
      </c>
      <c r="D51" t="str">
        <f>_xlfn.CONCAT(Table1[[#This Row],[Frist_Name ]]," ",Table1[[#This Row],[Last_Name]])</f>
        <v>Muskaan Kapoor</v>
      </c>
      <c r="E51" s="1">
        <v>15</v>
      </c>
      <c r="F51" s="1" t="s">
        <v>25</v>
      </c>
      <c r="G51" s="1">
        <v>10</v>
      </c>
      <c r="H51" s="1" t="s">
        <v>20</v>
      </c>
      <c r="I51" s="1">
        <v>90</v>
      </c>
      <c r="J51" s="1">
        <v>87</v>
      </c>
      <c r="K51" s="1">
        <v>82</v>
      </c>
      <c r="L51" s="1">
        <v>88</v>
      </c>
      <c r="M51" s="1">
        <v>86</v>
      </c>
      <c r="N51" s="1">
        <v>89</v>
      </c>
      <c r="O51" s="1">
        <v>19</v>
      </c>
      <c r="P51" s="1" t="s">
        <v>21</v>
      </c>
      <c r="Q51" s="1" t="s">
        <v>22</v>
      </c>
      <c r="R51" s="1" t="s">
        <v>27</v>
      </c>
      <c r="S51" s="1">
        <v>86</v>
      </c>
      <c r="T51" s="1" t="s">
        <v>20</v>
      </c>
      <c r="U51" s="1" t="s">
        <v>24</v>
      </c>
      <c r="W51">
        <f>(Table1[[#This Row],[Assignments Avg]]*0.1)+(Table1[[#This Row],[Midterm Score]]*0.3)+(Table1[[#This Row],[Final Exam Score]]*0.45)+(Table1[[#This Row],[Project Score]]*0.1)</f>
        <v>81.5</v>
      </c>
      <c r="X51" s="1" t="str">
        <f>IF(OR(Table1[[#This Row],[Attendance %]]&lt;57,Table1[[#This Row],[Final Score]]&lt;45),"At-Risk","Ok")</f>
        <v>Ok</v>
      </c>
      <c r="Y51" s="1" t="str">
        <f>IF(Table1[[#This Row],[Study Hours]]&lt;5,"Low Study","Normal")</f>
        <v>Normal</v>
      </c>
      <c r="Z51" s="1">
        <f>Table1[[#This Row],[Final Exam Score]]-Table1[[#This Row],[Midterm Score]]</f>
        <v>6</v>
      </c>
      <c r="AA51" s="1" t="str">
        <f>IF(Table1[[#This Row],[Final Score]]&gt;=80,"A",IF(Table1[[#This Row],[Final Score]]&gt;=70,"B",IF(Table1[[#This Row],[Final Score]]&gt;=60,"C",IF(Table1[[#This Row],[Final Score]]&gt;=50,"D","F"))))</f>
        <v>A</v>
      </c>
      <c r="AB51" s="1">
        <f>Table1[[#This Row],[Final Score]]+5</f>
        <v>91</v>
      </c>
      <c r="AC51" s="1" t="str">
        <f>IF(Table1[[#This Row],[Final Score]]&gt;=40,"Pass","Fail")</f>
        <v>Pass</v>
      </c>
      <c r="AD51" t="str">
        <f>IF(OR(Table1[[#This Row],[Final Score]]&gt;=80,Table1[[#This Row],[Attendance %]]&gt;=90),"High Performer","normal")</f>
        <v>High Performer</v>
      </c>
      <c r="AE51" s="1" t="str">
        <f>IF(Table1[[#This Row],[Gender]]="Male","Boy","Girl")</f>
        <v>Girl</v>
      </c>
      <c r="AF51" s="1" t="str">
        <f>IF(Table1[[#This Row],[Final Score]]&gt;90,"Certificate","No Allow Certificate")</f>
        <v>No Allow Certificate</v>
      </c>
      <c r="AG51" s="1" t="str">
        <f>IF(Table1[[#This Row],[Extracurricular]]="Yes","Active","Not Active")</f>
        <v>Active</v>
      </c>
      <c r="AH51" s="1" t="str">
        <f>IF(Table1[[#This Row],[Parent Education]]="Graduate","Educated_Parent", "Other")</f>
        <v>Educated_Parent</v>
      </c>
      <c r="AI51" s="1" t="str">
        <f>IF(Table1[[#This Row],[Assignments Avg]]&lt;70,"Need Practice","Ok")</f>
        <v>Ok</v>
      </c>
      <c r="AJ51" s="1" t="str">
        <f>Table1[[#This Row],[Frist_Name ]]&amp;" -"&amp;Table1[[#This Row],[Class]]</f>
        <v>Muskaan -10</v>
      </c>
      <c r="AK51" s="1" t="str">
        <f>RIGHT(Table1[[#This Row],[Full Name ]],LEN(Table1[[#This Row],[Full Name ]])-SEARCH(" ",Table1[[#This Row],[Full Name ]]))</f>
        <v>Kapoor</v>
      </c>
      <c r="AL51" s="1" t="str">
        <f>LEFT(Table1[[#This Row],[Full Name ]],SEARCH(" ",Table1[[#This Row],[Full Name ]]))</f>
        <v xml:space="preserve">Muskaan </v>
      </c>
      <c r="AM51" s="1">
        <f>LEN(Table1[[#This Row],[Frist_Name ]])</f>
        <v>7</v>
      </c>
      <c r="AN51" s="1"/>
      <c r="AO51" s="1"/>
    </row>
    <row r="52" spans="1:46" x14ac:dyDescent="0.3">
      <c r="A52" s="1">
        <v>51</v>
      </c>
      <c r="B52" s="1" t="s">
        <v>135</v>
      </c>
      <c r="C52" s="1" t="s">
        <v>48</v>
      </c>
      <c r="D52" t="str">
        <f>_xlfn.CONCAT(Table1[[#This Row],[Frist_Name ]]," ",Table1[[#This Row],[Last_Name]])</f>
        <v>Samar Gupta</v>
      </c>
      <c r="E52" s="1">
        <v>16</v>
      </c>
      <c r="F52" s="1" t="s">
        <v>19</v>
      </c>
      <c r="G52" s="1">
        <v>10</v>
      </c>
      <c r="H52" s="1" t="s">
        <v>29</v>
      </c>
      <c r="I52" s="1">
        <v>83</v>
      </c>
      <c r="J52" s="1">
        <v>77</v>
      </c>
      <c r="K52" s="1">
        <v>67</v>
      </c>
      <c r="L52" s="1">
        <v>71</v>
      </c>
      <c r="M52" s="1">
        <v>75</v>
      </c>
      <c r="N52" s="1">
        <v>74</v>
      </c>
      <c r="O52" s="1">
        <v>13</v>
      </c>
      <c r="P52" s="1" t="s">
        <v>21</v>
      </c>
      <c r="Q52" s="1" t="s">
        <v>22</v>
      </c>
      <c r="R52" s="1" t="s">
        <v>23</v>
      </c>
      <c r="S52" s="1">
        <v>72</v>
      </c>
      <c r="T52" s="1" t="s">
        <v>29</v>
      </c>
      <c r="U52" s="1" t="s">
        <v>24</v>
      </c>
      <c r="W52">
        <f>(Table1[[#This Row],[Assignments Avg]]*0.1)+(Table1[[#This Row],[Midterm Score]]*0.3)+(Table1[[#This Row],[Final Exam Score]]*0.45)+(Table1[[#This Row],[Project Score]]*0.1)</f>
        <v>67.25</v>
      </c>
      <c r="X52" s="1" t="str">
        <f>IF(OR(Table1[[#This Row],[Attendance %]]&lt;57,Table1[[#This Row],[Final Score]]&lt;45),"At-Risk","Ok")</f>
        <v>Ok</v>
      </c>
      <c r="Y52" s="1" t="str">
        <f>IF(Table1[[#This Row],[Study Hours]]&lt;5,"Low Study","Normal")</f>
        <v>Normal</v>
      </c>
      <c r="Z52" s="1">
        <f>Table1[[#This Row],[Final Exam Score]]-Table1[[#This Row],[Midterm Score]]</f>
        <v>4</v>
      </c>
      <c r="AA52" s="1" t="str">
        <f>IF(Table1[[#This Row],[Final Score]]&gt;=80,"A",IF(Table1[[#This Row],[Final Score]]&gt;=70,"B",IF(Table1[[#This Row],[Final Score]]&gt;=60,"C",IF(Table1[[#This Row],[Final Score]]&gt;=50,"D","F"))))</f>
        <v>B</v>
      </c>
      <c r="AB52" s="1">
        <f>Table1[[#This Row],[Final Score]]+5</f>
        <v>77</v>
      </c>
      <c r="AC52" s="1" t="str">
        <f>IF(Table1[[#This Row],[Final Score]]&gt;=40,"Pass","Fail")</f>
        <v>Pass</v>
      </c>
      <c r="AD52" t="str">
        <f>IF(OR(Table1[[#This Row],[Final Score]]&gt;=80,Table1[[#This Row],[Attendance %]]&gt;=90),"High Performer","normal")</f>
        <v>normal</v>
      </c>
      <c r="AE52" s="1" t="str">
        <f>IF(Table1[[#This Row],[Gender]]="Male","Boy","Girl")</f>
        <v>Boy</v>
      </c>
      <c r="AF52" s="1" t="str">
        <f>IF(Table1[[#This Row],[Final Score]]&gt;90,"Certificate","No Allow Certificate")</f>
        <v>No Allow Certificate</v>
      </c>
      <c r="AG52" s="1" t="str">
        <f>IF(Table1[[#This Row],[Extracurricular]]="Yes","Active","Not Active")</f>
        <v>Active</v>
      </c>
      <c r="AH52" s="1" t="str">
        <f>IF(Table1[[#This Row],[Parent Education]]="Graduate","Educated_Parent", "Other")</f>
        <v>Educated_Parent</v>
      </c>
      <c r="AI52" s="1" t="str">
        <f>IF(Table1[[#This Row],[Assignments Avg]]&lt;70,"Need Practice","Ok")</f>
        <v>Ok</v>
      </c>
      <c r="AJ52" s="1" t="str">
        <f>Table1[[#This Row],[Frist_Name ]]&amp;" -"&amp;Table1[[#This Row],[Class]]</f>
        <v>Samar -10</v>
      </c>
      <c r="AK52" s="1" t="str">
        <f>RIGHT(Table1[[#This Row],[Full Name ]],LEN(Table1[[#This Row],[Full Name ]])-SEARCH(" ",Table1[[#This Row],[Full Name ]]))</f>
        <v>Gupta</v>
      </c>
      <c r="AL52" s="1" t="str">
        <f>LEFT(Table1[[#This Row],[Full Name ]],SEARCH(" ",Table1[[#This Row],[Full Name ]]))</f>
        <v xml:space="preserve">Samar </v>
      </c>
      <c r="AM52" s="1">
        <f>LEN(Table1[[#This Row],[Frist_Name ]])</f>
        <v>5</v>
      </c>
      <c r="AN52" s="1"/>
      <c r="AO52" s="1"/>
      <c r="AP52" s="2" t="s">
        <v>207</v>
      </c>
      <c r="AQ52" s="2" t="s">
        <v>206</v>
      </c>
    </row>
    <row r="53" spans="1:46" x14ac:dyDescent="0.3">
      <c r="A53" s="1">
        <v>52</v>
      </c>
      <c r="B53" s="1" t="s">
        <v>136</v>
      </c>
      <c r="C53" s="1" t="s">
        <v>42</v>
      </c>
      <c r="D53" t="str">
        <f>_xlfn.CONCAT(Table1[[#This Row],[Frist_Name ]]," ",Table1[[#This Row],[Last_Name]])</f>
        <v>Avika Singh</v>
      </c>
      <c r="E53" s="1">
        <v>15</v>
      </c>
      <c r="F53" s="1" t="s">
        <v>25</v>
      </c>
      <c r="G53" s="1">
        <v>10</v>
      </c>
      <c r="H53" s="1" t="s">
        <v>29</v>
      </c>
      <c r="I53" s="1">
        <v>78</v>
      </c>
      <c r="J53" s="1">
        <v>72</v>
      </c>
      <c r="K53" s="1">
        <v>59</v>
      </c>
      <c r="L53" s="1">
        <v>63</v>
      </c>
      <c r="M53" s="1">
        <v>66</v>
      </c>
      <c r="N53" s="1">
        <v>69</v>
      </c>
      <c r="O53" s="1">
        <v>10</v>
      </c>
      <c r="P53" s="1" t="s">
        <v>30</v>
      </c>
      <c r="Q53" s="1" t="s">
        <v>22</v>
      </c>
      <c r="R53" s="1" t="s">
        <v>23</v>
      </c>
      <c r="S53" s="1">
        <v>65</v>
      </c>
      <c r="T53" s="1" t="s">
        <v>32</v>
      </c>
      <c r="U53" s="1" t="s">
        <v>24</v>
      </c>
      <c r="W53">
        <f>(Table1[[#This Row],[Assignments Avg]]*0.1)+(Table1[[#This Row],[Midterm Score]]*0.3)+(Table1[[#This Row],[Final Exam Score]]*0.45)+(Table1[[#This Row],[Project Score]]*0.1)</f>
        <v>59.85</v>
      </c>
      <c r="X53" s="1" t="str">
        <f>IF(OR(Table1[[#This Row],[Attendance %]]&lt;57,Table1[[#This Row],[Final Score]]&lt;45),"At-Risk","Ok")</f>
        <v>Ok</v>
      </c>
      <c r="Y53" s="1" t="str">
        <f>IF(Table1[[#This Row],[Study Hours]]&lt;5,"Low Study","Normal")</f>
        <v>Normal</v>
      </c>
      <c r="Z53" s="1">
        <f>Table1[[#This Row],[Final Exam Score]]-Table1[[#This Row],[Midterm Score]]</f>
        <v>4</v>
      </c>
      <c r="AA53" s="1" t="str">
        <f>IF(Table1[[#This Row],[Final Score]]&gt;=80,"A",IF(Table1[[#This Row],[Final Score]]&gt;=70,"B",IF(Table1[[#This Row],[Final Score]]&gt;=60,"C",IF(Table1[[#This Row],[Final Score]]&gt;=50,"D","F"))))</f>
        <v>C</v>
      </c>
      <c r="AB53" s="1">
        <f>Table1[[#This Row],[Final Score]]+5</f>
        <v>70</v>
      </c>
      <c r="AC53" s="1" t="str">
        <f>IF(Table1[[#This Row],[Final Score]]&gt;=40,"Pass","Fail")</f>
        <v>Pass</v>
      </c>
      <c r="AD53" t="str">
        <f>IF(OR(Table1[[#This Row],[Final Score]]&gt;=80,Table1[[#This Row],[Attendance %]]&gt;=90),"High Performer","normal")</f>
        <v>normal</v>
      </c>
      <c r="AE53" s="1" t="str">
        <f>IF(Table1[[#This Row],[Gender]]="Male","Boy","Girl")</f>
        <v>Girl</v>
      </c>
      <c r="AF53" s="1" t="str">
        <f>IF(Table1[[#This Row],[Final Score]]&gt;90,"Certificate","No Allow Certificate")</f>
        <v>No Allow Certificate</v>
      </c>
      <c r="AG53" s="1" t="str">
        <f>IF(Table1[[#This Row],[Extracurricular]]="Yes","Active","Not Active")</f>
        <v>Not Active</v>
      </c>
      <c r="AH53" s="1" t="str">
        <f>IF(Table1[[#This Row],[Parent Education]]="Graduate","Educated_Parent", "Other")</f>
        <v>Educated_Parent</v>
      </c>
      <c r="AI53" s="1" t="str">
        <f>IF(Table1[[#This Row],[Assignments Avg]]&lt;70,"Need Practice","Ok")</f>
        <v>Ok</v>
      </c>
      <c r="AJ53" s="1" t="str">
        <f>Table1[[#This Row],[Frist_Name ]]&amp;" -"&amp;Table1[[#This Row],[Class]]</f>
        <v>Avika -10</v>
      </c>
      <c r="AK53" s="1" t="str">
        <f>RIGHT(Table1[[#This Row],[Full Name ]],LEN(Table1[[#This Row],[Full Name ]])-SEARCH(" ",Table1[[#This Row],[Full Name ]]))</f>
        <v>Singh</v>
      </c>
      <c r="AL53" s="1" t="str">
        <f>LEFT(Table1[[#This Row],[Full Name ]],SEARCH(" ",Table1[[#This Row],[Full Name ]]))</f>
        <v xml:space="preserve">Avika </v>
      </c>
      <c r="AM53" s="1">
        <f>LEN(Table1[[#This Row],[Frist_Name ]])</f>
        <v>5</v>
      </c>
      <c r="AN53" s="1"/>
      <c r="AO53" s="1"/>
      <c r="AP53" s="2" t="s">
        <v>202</v>
      </c>
      <c r="AQ53" t="s">
        <v>35</v>
      </c>
      <c r="AR53" t="s">
        <v>24</v>
      </c>
      <c r="AS53" t="s">
        <v>203</v>
      </c>
    </row>
    <row r="54" spans="1:46" x14ac:dyDescent="0.3">
      <c r="A54" s="1">
        <v>53</v>
      </c>
      <c r="B54" s="1" t="s">
        <v>137</v>
      </c>
      <c r="C54" s="1" t="s">
        <v>44</v>
      </c>
      <c r="D54" t="str">
        <f>_xlfn.CONCAT(Table1[[#This Row],[Frist_Name ]]," ",Table1[[#This Row],[Last_Name]])</f>
        <v>Ansh Verma</v>
      </c>
      <c r="E54" s="1">
        <v>16</v>
      </c>
      <c r="F54" s="1" t="s">
        <v>19</v>
      </c>
      <c r="G54" s="1">
        <v>11</v>
      </c>
      <c r="H54" s="1" t="s">
        <v>32</v>
      </c>
      <c r="I54" s="1">
        <v>66</v>
      </c>
      <c r="J54" s="1">
        <v>58</v>
      </c>
      <c r="K54" s="1">
        <v>43</v>
      </c>
      <c r="L54" s="1">
        <v>40</v>
      </c>
      <c r="M54" s="1">
        <v>48</v>
      </c>
      <c r="N54" s="1">
        <v>51</v>
      </c>
      <c r="O54" s="1">
        <v>6</v>
      </c>
      <c r="P54" s="1" t="s">
        <v>30</v>
      </c>
      <c r="Q54" s="1" t="s">
        <v>31</v>
      </c>
      <c r="R54" s="1" t="s">
        <v>33</v>
      </c>
      <c r="S54" s="1">
        <v>44</v>
      </c>
      <c r="T54" s="1" t="s">
        <v>34</v>
      </c>
      <c r="U54" s="1" t="s">
        <v>35</v>
      </c>
      <c r="W54">
        <f>(Table1[[#This Row],[Assignments Avg]]*0.1)+(Table1[[#This Row],[Midterm Score]]*0.3)+(Table1[[#This Row],[Final Exam Score]]*0.45)+(Table1[[#This Row],[Project Score]]*0.1)</f>
        <v>41.5</v>
      </c>
      <c r="X54" s="1" t="str">
        <f>IF(OR(Table1[[#This Row],[Attendance %]]&lt;57,Table1[[#This Row],[Final Score]]&lt;45),"At-Risk","Ok")</f>
        <v>At-Risk</v>
      </c>
      <c r="Y54" s="1" t="str">
        <f>IF(Table1[[#This Row],[Study Hours]]&lt;5,"Low Study","Normal")</f>
        <v>Normal</v>
      </c>
      <c r="Z54" s="1">
        <f>Table1[[#This Row],[Final Exam Score]]-Table1[[#This Row],[Midterm Score]]</f>
        <v>-3</v>
      </c>
      <c r="AA54" s="1" t="str">
        <f>IF(Table1[[#This Row],[Final Score]]&gt;=80,"A",IF(Table1[[#This Row],[Final Score]]&gt;=70,"B",IF(Table1[[#This Row],[Final Score]]&gt;=60,"C",IF(Table1[[#This Row],[Final Score]]&gt;=50,"D","F"))))</f>
        <v>F</v>
      </c>
      <c r="AB54" s="1">
        <f>Table1[[#This Row],[Final Score]]+5</f>
        <v>49</v>
      </c>
      <c r="AC54" s="1" t="str">
        <f>IF(Table1[[#This Row],[Final Score]]&gt;=40,"Pass","Fail")</f>
        <v>Pass</v>
      </c>
      <c r="AD54" t="str">
        <f>IF(OR(Table1[[#This Row],[Final Score]]&gt;=80,Table1[[#This Row],[Attendance %]]&gt;=90),"High Performer","normal")</f>
        <v>normal</v>
      </c>
      <c r="AE54" s="1" t="str">
        <f>IF(Table1[[#This Row],[Gender]]="Male","Boy","Girl")</f>
        <v>Boy</v>
      </c>
      <c r="AF54" s="1" t="str">
        <f>IF(Table1[[#This Row],[Final Score]]&gt;90,"Certificate","No Allow Certificate")</f>
        <v>No Allow Certificate</v>
      </c>
      <c r="AG54" s="1" t="str">
        <f>IF(Table1[[#This Row],[Extracurricular]]="Yes","Active","Not Active")</f>
        <v>Not Active</v>
      </c>
      <c r="AH54" s="1" t="str">
        <f>IF(Table1[[#This Row],[Parent Education]]="Graduate","Educated_Parent", "Other")</f>
        <v>Other</v>
      </c>
      <c r="AI54" s="1" t="str">
        <f>IF(Table1[[#This Row],[Assignments Avg]]&lt;70,"Need Practice","Ok")</f>
        <v>Need Practice</v>
      </c>
      <c r="AJ54" s="1" t="str">
        <f>Table1[[#This Row],[Frist_Name ]]&amp;" -"&amp;Table1[[#This Row],[Class]]</f>
        <v>Ansh -11</v>
      </c>
      <c r="AK54" s="1" t="str">
        <f>RIGHT(Table1[[#This Row],[Full Name ]],LEN(Table1[[#This Row],[Full Name ]])-SEARCH(" ",Table1[[#This Row],[Full Name ]]))</f>
        <v>Verma</v>
      </c>
      <c r="AL54" s="1" t="str">
        <f>LEFT(Table1[[#This Row],[Full Name ]],SEARCH(" ",Table1[[#This Row],[Full Name ]]))</f>
        <v xml:space="preserve">Ansh </v>
      </c>
      <c r="AM54" s="1">
        <f>LEN(Table1[[#This Row],[Frist_Name ]])</f>
        <v>4</v>
      </c>
      <c r="AN54" s="1"/>
      <c r="AO54" s="1"/>
      <c r="AP54" s="3" t="s">
        <v>20</v>
      </c>
      <c r="AQ54">
        <v>7</v>
      </c>
      <c r="AR54">
        <v>19</v>
      </c>
      <c r="AS54">
        <v>26</v>
      </c>
    </row>
    <row r="55" spans="1:46" x14ac:dyDescent="0.3">
      <c r="A55" s="1">
        <v>54</v>
      </c>
      <c r="B55" s="1" t="s">
        <v>75</v>
      </c>
      <c r="C55" s="1" t="s">
        <v>54</v>
      </c>
      <c r="D55" t="str">
        <f>_xlfn.CONCAT(Table1[[#This Row],[Frist_Name ]]," ",Table1[[#This Row],[Last_Name]])</f>
        <v>Navya Joshi</v>
      </c>
      <c r="E55" s="1">
        <v>15</v>
      </c>
      <c r="F55" s="1" t="s">
        <v>25</v>
      </c>
      <c r="G55" s="1">
        <v>11</v>
      </c>
      <c r="H55" s="1" t="s">
        <v>32</v>
      </c>
      <c r="I55" s="1">
        <v>94</v>
      </c>
      <c r="J55" s="1">
        <v>91</v>
      </c>
      <c r="K55" s="1">
        <v>86</v>
      </c>
      <c r="L55" s="1">
        <v>92</v>
      </c>
      <c r="M55" s="1">
        <v>90</v>
      </c>
      <c r="N55" s="1">
        <v>93</v>
      </c>
      <c r="O55" s="1">
        <v>22</v>
      </c>
      <c r="P55" s="1" t="s">
        <v>21</v>
      </c>
      <c r="Q55" s="1" t="s">
        <v>26</v>
      </c>
      <c r="R55" s="1" t="s">
        <v>27</v>
      </c>
      <c r="S55" s="1">
        <v>91</v>
      </c>
      <c r="T55" s="1" t="s">
        <v>28</v>
      </c>
      <c r="U55" s="1" t="s">
        <v>24</v>
      </c>
      <c r="W55">
        <f>(Table1[[#This Row],[Assignments Avg]]*0.1)+(Table1[[#This Row],[Midterm Score]]*0.3)+(Table1[[#This Row],[Final Exam Score]]*0.45)+(Table1[[#This Row],[Project Score]]*0.1)</f>
        <v>85.3</v>
      </c>
      <c r="X55" s="1" t="str">
        <f>IF(OR(Table1[[#This Row],[Attendance %]]&lt;57,Table1[[#This Row],[Final Score]]&lt;45),"At-Risk","Ok")</f>
        <v>Ok</v>
      </c>
      <c r="Y55" s="1" t="str">
        <f>IF(Table1[[#This Row],[Study Hours]]&lt;5,"Low Study","Normal")</f>
        <v>Normal</v>
      </c>
      <c r="Z55" s="1">
        <f>Table1[[#This Row],[Final Exam Score]]-Table1[[#This Row],[Midterm Score]]</f>
        <v>6</v>
      </c>
      <c r="AA55" s="1" t="str">
        <f>IF(Table1[[#This Row],[Final Score]]&gt;=80,"A",IF(Table1[[#This Row],[Final Score]]&gt;=70,"B",IF(Table1[[#This Row],[Final Score]]&gt;=60,"C",IF(Table1[[#This Row],[Final Score]]&gt;=50,"D","F"))))</f>
        <v>A</v>
      </c>
      <c r="AB55" s="1">
        <f>Table1[[#This Row],[Final Score]]+5</f>
        <v>96</v>
      </c>
      <c r="AC55" s="1" t="str">
        <f>IF(Table1[[#This Row],[Final Score]]&gt;=40,"Pass","Fail")</f>
        <v>Pass</v>
      </c>
      <c r="AD55" t="str">
        <f>IF(OR(Table1[[#This Row],[Final Score]]&gt;=80,Table1[[#This Row],[Attendance %]]&gt;=90),"High Performer","normal")</f>
        <v>High Performer</v>
      </c>
      <c r="AE55" s="1" t="str">
        <f>IF(Table1[[#This Row],[Gender]]="Male","Boy","Girl")</f>
        <v>Girl</v>
      </c>
      <c r="AF55" s="1" t="str">
        <f>IF(Table1[[#This Row],[Final Score]]&gt;90,"Certificate","No Allow Certificate")</f>
        <v>Certificate</v>
      </c>
      <c r="AG55" s="1" t="str">
        <f>IF(Table1[[#This Row],[Extracurricular]]="Yes","Active","Not Active")</f>
        <v>Active</v>
      </c>
      <c r="AH55" s="1" t="str">
        <f>IF(Table1[[#This Row],[Parent Education]]="Graduate","Educated_Parent", "Other")</f>
        <v>Other</v>
      </c>
      <c r="AI55" s="1" t="str">
        <f>IF(Table1[[#This Row],[Assignments Avg]]&lt;70,"Need Practice","Ok")</f>
        <v>Ok</v>
      </c>
      <c r="AJ55" s="1" t="str">
        <f>Table1[[#This Row],[Frist_Name ]]&amp;" -"&amp;Table1[[#This Row],[Class]]</f>
        <v>Navya -11</v>
      </c>
      <c r="AK55" s="1" t="str">
        <f>RIGHT(Table1[[#This Row],[Full Name ]],LEN(Table1[[#This Row],[Full Name ]])-SEARCH(" ",Table1[[#This Row],[Full Name ]]))</f>
        <v>Joshi</v>
      </c>
      <c r="AL55" s="1" t="str">
        <f>LEFT(Table1[[#This Row],[Full Name ]],SEARCH(" ",Table1[[#This Row],[Full Name ]]))</f>
        <v xml:space="preserve">Navya </v>
      </c>
      <c r="AM55" s="1">
        <f>LEN(Table1[[#This Row],[Frist_Name ]])</f>
        <v>5</v>
      </c>
      <c r="AN55" s="1"/>
      <c r="AO55" s="1"/>
      <c r="AP55" s="3" t="s">
        <v>29</v>
      </c>
      <c r="AQ55">
        <v>6</v>
      </c>
      <c r="AR55">
        <v>20</v>
      </c>
      <c r="AS55">
        <v>26</v>
      </c>
    </row>
    <row r="56" spans="1:46" x14ac:dyDescent="0.3">
      <c r="A56" s="1">
        <v>55</v>
      </c>
      <c r="B56" s="1" t="s">
        <v>138</v>
      </c>
      <c r="C56" s="1" t="s">
        <v>40</v>
      </c>
      <c r="D56" t="str">
        <f>_xlfn.CONCAT(Table1[[#This Row],[Frist_Name ]]," ",Table1[[#This Row],[Last_Name]])</f>
        <v>Shreyansh Patel</v>
      </c>
      <c r="E56" s="1">
        <v>16</v>
      </c>
      <c r="F56" s="1" t="s">
        <v>19</v>
      </c>
      <c r="G56" s="1">
        <v>10</v>
      </c>
      <c r="H56" s="1" t="s">
        <v>34</v>
      </c>
      <c r="I56" s="1">
        <v>88</v>
      </c>
      <c r="J56" s="1">
        <v>82</v>
      </c>
      <c r="K56" s="1">
        <v>74</v>
      </c>
      <c r="L56" s="1">
        <v>80</v>
      </c>
      <c r="M56" s="1">
        <v>79</v>
      </c>
      <c r="N56" s="1">
        <v>81</v>
      </c>
      <c r="O56" s="1">
        <v>16</v>
      </c>
      <c r="P56" s="1" t="s">
        <v>21</v>
      </c>
      <c r="Q56" s="1" t="s">
        <v>22</v>
      </c>
      <c r="R56" s="1" t="s">
        <v>23</v>
      </c>
      <c r="S56" s="1">
        <v>79</v>
      </c>
      <c r="T56" s="1" t="s">
        <v>29</v>
      </c>
      <c r="U56" s="1" t="s">
        <v>24</v>
      </c>
      <c r="W56">
        <f>(Table1[[#This Row],[Assignments Avg]]*0.1)+(Table1[[#This Row],[Midterm Score]]*0.3)+(Table1[[#This Row],[Final Exam Score]]*0.45)+(Table1[[#This Row],[Project Score]]*0.1)</f>
        <v>74.300000000000011</v>
      </c>
      <c r="X56" s="1" t="str">
        <f>IF(OR(Table1[[#This Row],[Attendance %]]&lt;57,Table1[[#This Row],[Final Score]]&lt;45),"At-Risk","Ok")</f>
        <v>Ok</v>
      </c>
      <c r="Y56" s="1" t="str">
        <f>IF(Table1[[#This Row],[Study Hours]]&lt;5,"Low Study","Normal")</f>
        <v>Normal</v>
      </c>
      <c r="Z56" s="1">
        <f>Table1[[#This Row],[Final Exam Score]]-Table1[[#This Row],[Midterm Score]]</f>
        <v>6</v>
      </c>
      <c r="AA56" s="1" t="str">
        <f>IF(Table1[[#This Row],[Final Score]]&gt;=80,"A",IF(Table1[[#This Row],[Final Score]]&gt;=70,"B",IF(Table1[[#This Row],[Final Score]]&gt;=60,"C",IF(Table1[[#This Row],[Final Score]]&gt;=50,"D","F"))))</f>
        <v>B</v>
      </c>
      <c r="AB56" s="1">
        <f>Table1[[#This Row],[Final Score]]+5</f>
        <v>84</v>
      </c>
      <c r="AC56" s="1" t="str">
        <f>IF(Table1[[#This Row],[Final Score]]&gt;=40,"Pass","Fail")</f>
        <v>Pass</v>
      </c>
      <c r="AD56" t="str">
        <f>IF(OR(Table1[[#This Row],[Final Score]]&gt;=80,Table1[[#This Row],[Attendance %]]&gt;=90),"High Performer","normal")</f>
        <v>normal</v>
      </c>
      <c r="AE56" s="1" t="str">
        <f>IF(Table1[[#This Row],[Gender]]="Male","Boy","Girl")</f>
        <v>Boy</v>
      </c>
      <c r="AF56" s="1" t="str">
        <f>IF(Table1[[#This Row],[Final Score]]&gt;90,"Certificate","No Allow Certificate")</f>
        <v>No Allow Certificate</v>
      </c>
      <c r="AG56" s="1" t="str">
        <f>IF(Table1[[#This Row],[Extracurricular]]="Yes","Active","Not Active")</f>
        <v>Active</v>
      </c>
      <c r="AH56" s="1" t="str">
        <f>IF(Table1[[#This Row],[Parent Education]]="Graduate","Educated_Parent", "Other")</f>
        <v>Educated_Parent</v>
      </c>
      <c r="AI56" s="1" t="str">
        <f>IF(Table1[[#This Row],[Assignments Avg]]&lt;70,"Need Practice","Ok")</f>
        <v>Ok</v>
      </c>
      <c r="AJ56" s="1" t="str">
        <f>Table1[[#This Row],[Frist_Name ]]&amp;" -"&amp;Table1[[#This Row],[Class]]</f>
        <v>Shreyansh -10</v>
      </c>
      <c r="AK56" s="1" t="str">
        <f>RIGHT(Table1[[#This Row],[Full Name ]],LEN(Table1[[#This Row],[Full Name ]])-SEARCH(" ",Table1[[#This Row],[Full Name ]]))</f>
        <v>Patel</v>
      </c>
      <c r="AL56" s="1" t="str">
        <f>LEFT(Table1[[#This Row],[Full Name ]],SEARCH(" ",Table1[[#This Row],[Full Name ]]))</f>
        <v xml:space="preserve">Shreyansh </v>
      </c>
      <c r="AM56" s="1">
        <f>LEN(Table1[[#This Row],[Frist_Name ]])</f>
        <v>9</v>
      </c>
      <c r="AN56" s="1"/>
      <c r="AO56" s="1"/>
      <c r="AP56" s="3" t="s">
        <v>32</v>
      </c>
      <c r="AQ56">
        <v>7</v>
      </c>
      <c r="AR56">
        <v>17</v>
      </c>
      <c r="AS56">
        <v>24</v>
      </c>
    </row>
    <row r="57" spans="1:46" x14ac:dyDescent="0.3">
      <c r="A57" s="1">
        <v>56</v>
      </c>
      <c r="B57" s="1" t="s">
        <v>139</v>
      </c>
      <c r="C57" s="1" t="s">
        <v>52</v>
      </c>
      <c r="D57" t="str">
        <f>_xlfn.CONCAT(Table1[[#This Row],[Frist_Name ]]," ",Table1[[#This Row],[Last_Name]])</f>
        <v>Riddhi Shah</v>
      </c>
      <c r="E57" s="1">
        <v>15</v>
      </c>
      <c r="F57" s="1" t="s">
        <v>25</v>
      </c>
      <c r="G57" s="1">
        <v>10</v>
      </c>
      <c r="H57" s="1" t="s">
        <v>34</v>
      </c>
      <c r="I57" s="1">
        <v>85</v>
      </c>
      <c r="J57" s="1">
        <v>79</v>
      </c>
      <c r="K57" s="1">
        <v>68</v>
      </c>
      <c r="L57" s="1">
        <v>73</v>
      </c>
      <c r="M57" s="1">
        <v>76</v>
      </c>
      <c r="N57" s="1">
        <v>78</v>
      </c>
      <c r="O57" s="1">
        <v>14</v>
      </c>
      <c r="P57" s="1" t="s">
        <v>21</v>
      </c>
      <c r="Q57" s="1" t="s">
        <v>22</v>
      </c>
      <c r="R57" s="1" t="s">
        <v>23</v>
      </c>
      <c r="S57" s="1">
        <v>73</v>
      </c>
      <c r="T57" s="1" t="s">
        <v>29</v>
      </c>
      <c r="U57" s="1" t="s">
        <v>24</v>
      </c>
      <c r="W57">
        <f>(Table1[[#This Row],[Assignments Avg]]*0.1)+(Table1[[#This Row],[Midterm Score]]*0.3)+(Table1[[#This Row],[Final Exam Score]]*0.45)+(Table1[[#This Row],[Project Score]]*0.1)</f>
        <v>68.75</v>
      </c>
      <c r="X57" s="1" t="str">
        <f>IF(OR(Table1[[#This Row],[Attendance %]]&lt;57,Table1[[#This Row],[Final Score]]&lt;45),"At-Risk","Ok")</f>
        <v>Ok</v>
      </c>
      <c r="Y57" s="1" t="str">
        <f>IF(Table1[[#This Row],[Study Hours]]&lt;5,"Low Study","Normal")</f>
        <v>Normal</v>
      </c>
      <c r="Z57" s="1">
        <f>Table1[[#This Row],[Final Exam Score]]-Table1[[#This Row],[Midterm Score]]</f>
        <v>5</v>
      </c>
      <c r="AA57" s="1" t="str">
        <f>IF(Table1[[#This Row],[Final Score]]&gt;=80,"A",IF(Table1[[#This Row],[Final Score]]&gt;=70,"B",IF(Table1[[#This Row],[Final Score]]&gt;=60,"C",IF(Table1[[#This Row],[Final Score]]&gt;=50,"D","F"))))</f>
        <v>B</v>
      </c>
      <c r="AB57" s="1">
        <f>Table1[[#This Row],[Final Score]]+5</f>
        <v>78</v>
      </c>
      <c r="AC57" s="1" t="str">
        <f>IF(Table1[[#This Row],[Final Score]]&gt;=40,"Pass","Fail")</f>
        <v>Pass</v>
      </c>
      <c r="AD57" t="str">
        <f>IF(OR(Table1[[#This Row],[Final Score]]&gt;=80,Table1[[#This Row],[Attendance %]]&gt;=90),"High Performer","normal")</f>
        <v>normal</v>
      </c>
      <c r="AE57" s="1" t="str">
        <f>IF(Table1[[#This Row],[Gender]]="Male","Boy","Girl")</f>
        <v>Girl</v>
      </c>
      <c r="AF57" s="1" t="str">
        <f>IF(Table1[[#This Row],[Final Score]]&gt;90,"Certificate","No Allow Certificate")</f>
        <v>No Allow Certificate</v>
      </c>
      <c r="AG57" s="1" t="str">
        <f>IF(Table1[[#This Row],[Extracurricular]]="Yes","Active","Not Active")</f>
        <v>Active</v>
      </c>
      <c r="AH57" s="1" t="str">
        <f>IF(Table1[[#This Row],[Parent Education]]="Graduate","Educated_Parent", "Other")</f>
        <v>Educated_Parent</v>
      </c>
      <c r="AI57" s="1" t="str">
        <f>IF(Table1[[#This Row],[Assignments Avg]]&lt;70,"Need Practice","Ok")</f>
        <v>Ok</v>
      </c>
      <c r="AJ57" s="1" t="str">
        <f>Table1[[#This Row],[Frist_Name ]]&amp;" -"&amp;Table1[[#This Row],[Class]]</f>
        <v>Riddhi -10</v>
      </c>
      <c r="AK57" s="1" t="str">
        <f>RIGHT(Table1[[#This Row],[Full Name ]],LEN(Table1[[#This Row],[Full Name ]])-SEARCH(" ",Table1[[#This Row],[Full Name ]]))</f>
        <v>Shah</v>
      </c>
      <c r="AL57" s="1" t="str">
        <f>LEFT(Table1[[#This Row],[Full Name ]],SEARCH(" ",Table1[[#This Row],[Full Name ]]))</f>
        <v xml:space="preserve">Riddhi </v>
      </c>
      <c r="AM57" s="1">
        <f>LEN(Table1[[#This Row],[Frist_Name ]])</f>
        <v>6</v>
      </c>
      <c r="AN57" s="1"/>
      <c r="AO57" s="1"/>
      <c r="AP57" s="3" t="s">
        <v>34</v>
      </c>
      <c r="AQ57">
        <v>5</v>
      </c>
      <c r="AR57">
        <v>19</v>
      </c>
      <c r="AS57">
        <v>24</v>
      </c>
    </row>
    <row r="58" spans="1:46" x14ac:dyDescent="0.3">
      <c r="A58" s="1">
        <v>57</v>
      </c>
      <c r="B58" s="1" t="s">
        <v>140</v>
      </c>
      <c r="C58" s="1" t="s">
        <v>56</v>
      </c>
      <c r="D58" t="str">
        <f>_xlfn.CONCAT(Table1[[#This Row],[Frist_Name ]]," ",Table1[[#This Row],[Last_Name]])</f>
        <v>Advik Nair</v>
      </c>
      <c r="E58" s="1">
        <v>16</v>
      </c>
      <c r="F58" s="1" t="s">
        <v>19</v>
      </c>
      <c r="G58" s="1">
        <v>10</v>
      </c>
      <c r="H58" s="1" t="s">
        <v>20</v>
      </c>
      <c r="I58" s="1">
        <v>62</v>
      </c>
      <c r="J58" s="1">
        <v>55</v>
      </c>
      <c r="K58" s="1">
        <v>40</v>
      </c>
      <c r="L58" s="1">
        <v>35</v>
      </c>
      <c r="M58" s="1">
        <v>43</v>
      </c>
      <c r="N58" s="1">
        <v>47</v>
      </c>
      <c r="O58" s="1">
        <v>5</v>
      </c>
      <c r="P58" s="1" t="s">
        <v>30</v>
      </c>
      <c r="Q58" s="1" t="s">
        <v>31</v>
      </c>
      <c r="R58" s="1" t="s">
        <v>33</v>
      </c>
      <c r="S58" s="1">
        <v>40</v>
      </c>
      <c r="T58" s="1" t="s">
        <v>34</v>
      </c>
      <c r="U58" s="1" t="s">
        <v>35</v>
      </c>
      <c r="W58">
        <f>(Table1[[#This Row],[Assignments Avg]]*0.1)+(Table1[[#This Row],[Midterm Score]]*0.3)+(Table1[[#This Row],[Final Exam Score]]*0.45)+(Table1[[#This Row],[Project Score]]*0.1)</f>
        <v>37.549999999999997</v>
      </c>
      <c r="X58" s="1" t="str">
        <f>IF(OR(Table1[[#This Row],[Attendance %]]&lt;57,Table1[[#This Row],[Final Score]]&lt;45),"At-Risk","Ok")</f>
        <v>At-Risk</v>
      </c>
      <c r="Y58" s="1" t="str">
        <f>IF(Table1[[#This Row],[Study Hours]]&lt;5,"Low Study","Normal")</f>
        <v>Normal</v>
      </c>
      <c r="Z58" s="1">
        <f>Table1[[#This Row],[Final Exam Score]]-Table1[[#This Row],[Midterm Score]]</f>
        <v>-5</v>
      </c>
      <c r="AA58" s="1" t="str">
        <f>IF(Table1[[#This Row],[Final Score]]&gt;=80,"A",IF(Table1[[#This Row],[Final Score]]&gt;=70,"B",IF(Table1[[#This Row],[Final Score]]&gt;=60,"C",IF(Table1[[#This Row],[Final Score]]&gt;=50,"D","F"))))</f>
        <v>F</v>
      </c>
      <c r="AB58" s="1">
        <f>Table1[[#This Row],[Final Score]]+5</f>
        <v>45</v>
      </c>
      <c r="AC58" s="1" t="str">
        <f>IF(Table1[[#This Row],[Final Score]]&gt;=40,"Pass","Fail")</f>
        <v>Pass</v>
      </c>
      <c r="AD58" t="str">
        <f>IF(OR(Table1[[#This Row],[Final Score]]&gt;=80,Table1[[#This Row],[Attendance %]]&gt;=90),"High Performer","normal")</f>
        <v>normal</v>
      </c>
      <c r="AE58" s="1" t="str">
        <f>IF(Table1[[#This Row],[Gender]]="Male","Boy","Girl")</f>
        <v>Boy</v>
      </c>
      <c r="AF58" s="1" t="str">
        <f>IF(Table1[[#This Row],[Final Score]]&gt;90,"Certificate","No Allow Certificate")</f>
        <v>No Allow Certificate</v>
      </c>
      <c r="AG58" s="1" t="str">
        <f>IF(Table1[[#This Row],[Extracurricular]]="Yes","Active","Not Active")</f>
        <v>Not Active</v>
      </c>
      <c r="AH58" s="1" t="str">
        <f>IF(Table1[[#This Row],[Parent Education]]="Graduate","Educated_Parent", "Other")</f>
        <v>Other</v>
      </c>
      <c r="AI58" s="1" t="str">
        <f>IF(Table1[[#This Row],[Assignments Avg]]&lt;70,"Need Practice","Ok")</f>
        <v>Need Practice</v>
      </c>
      <c r="AJ58" s="1" t="str">
        <f>Table1[[#This Row],[Frist_Name ]]&amp;" -"&amp;Table1[[#This Row],[Class]]</f>
        <v>Advik -10</v>
      </c>
      <c r="AK58" s="1" t="str">
        <f>RIGHT(Table1[[#This Row],[Full Name ]],LEN(Table1[[#This Row],[Full Name ]])-SEARCH(" ",Table1[[#This Row],[Full Name ]]))</f>
        <v>Nair</v>
      </c>
      <c r="AL58" s="1" t="str">
        <f>LEFT(Table1[[#This Row],[Full Name ]],SEARCH(" ",Table1[[#This Row],[Full Name ]]))</f>
        <v xml:space="preserve">Advik </v>
      </c>
      <c r="AM58" s="1">
        <f>LEN(Table1[[#This Row],[Frist_Name ]])</f>
        <v>5</v>
      </c>
      <c r="AN58" s="1"/>
      <c r="AO58" s="1"/>
      <c r="AP58" s="3" t="s">
        <v>203</v>
      </c>
      <c r="AQ58">
        <v>25</v>
      </c>
      <c r="AR58">
        <v>75</v>
      </c>
      <c r="AS58">
        <v>100</v>
      </c>
    </row>
    <row r="59" spans="1:46" x14ac:dyDescent="0.3">
      <c r="A59" s="1">
        <v>58</v>
      </c>
      <c r="B59" s="1" t="s">
        <v>141</v>
      </c>
      <c r="C59" s="1" t="s">
        <v>46</v>
      </c>
      <c r="D59" t="str">
        <f>_xlfn.CONCAT(Table1[[#This Row],[Frist_Name ]]," ",Table1[[#This Row],[Last_Name]])</f>
        <v>Shruti Mehta</v>
      </c>
      <c r="E59" s="1">
        <v>15</v>
      </c>
      <c r="F59" s="1" t="s">
        <v>25</v>
      </c>
      <c r="G59" s="1">
        <v>10</v>
      </c>
      <c r="H59" s="1" t="s">
        <v>20</v>
      </c>
      <c r="I59" s="1">
        <v>97</v>
      </c>
      <c r="J59" s="1">
        <v>95</v>
      </c>
      <c r="K59" s="1">
        <v>92</v>
      </c>
      <c r="L59" s="1">
        <v>94</v>
      </c>
      <c r="M59" s="1">
        <v>96</v>
      </c>
      <c r="N59" s="1">
        <v>95</v>
      </c>
      <c r="O59" s="1">
        <v>24</v>
      </c>
      <c r="P59" s="1" t="s">
        <v>21</v>
      </c>
      <c r="Q59" s="1" t="s">
        <v>26</v>
      </c>
      <c r="R59" s="1" t="s">
        <v>27</v>
      </c>
      <c r="S59" s="1">
        <v>95</v>
      </c>
      <c r="T59" s="1" t="s">
        <v>28</v>
      </c>
      <c r="U59" s="1" t="s">
        <v>24</v>
      </c>
      <c r="W59">
        <f>(Table1[[#This Row],[Assignments Avg]]*0.1)+(Table1[[#This Row],[Midterm Score]]*0.3)+(Table1[[#This Row],[Final Exam Score]]*0.45)+(Table1[[#This Row],[Project Score]]*0.1)</f>
        <v>89</v>
      </c>
      <c r="X59" s="1" t="str">
        <f>IF(OR(Table1[[#This Row],[Attendance %]]&lt;57,Table1[[#This Row],[Final Score]]&lt;45),"At-Risk","Ok")</f>
        <v>Ok</v>
      </c>
      <c r="Y59" s="1" t="str">
        <f>IF(Table1[[#This Row],[Study Hours]]&lt;5,"Low Study","Normal")</f>
        <v>Normal</v>
      </c>
      <c r="Z59" s="1">
        <f>Table1[[#This Row],[Final Exam Score]]-Table1[[#This Row],[Midterm Score]]</f>
        <v>2</v>
      </c>
      <c r="AA59" s="1" t="str">
        <f>IF(Table1[[#This Row],[Final Score]]&gt;=80,"A",IF(Table1[[#This Row],[Final Score]]&gt;=70,"B",IF(Table1[[#This Row],[Final Score]]&gt;=60,"C",IF(Table1[[#This Row],[Final Score]]&gt;=50,"D","F"))))</f>
        <v>A</v>
      </c>
      <c r="AB59" s="1">
        <f>Table1[[#This Row],[Final Score]]+5</f>
        <v>100</v>
      </c>
      <c r="AC59" s="1" t="str">
        <f>IF(Table1[[#This Row],[Final Score]]&gt;=40,"Pass","Fail")</f>
        <v>Pass</v>
      </c>
      <c r="AD59" t="str">
        <f>IF(OR(Table1[[#This Row],[Final Score]]&gt;=80,Table1[[#This Row],[Attendance %]]&gt;=90),"High Performer","normal")</f>
        <v>High Performer</v>
      </c>
      <c r="AE59" s="1" t="str">
        <f>IF(Table1[[#This Row],[Gender]]="Male","Boy","Girl")</f>
        <v>Girl</v>
      </c>
      <c r="AF59" s="1" t="str">
        <f>IF(Table1[[#This Row],[Final Score]]&gt;90,"Certificate","No Allow Certificate")</f>
        <v>Certificate</v>
      </c>
      <c r="AG59" s="1" t="str">
        <f>IF(Table1[[#This Row],[Extracurricular]]="Yes","Active","Not Active")</f>
        <v>Active</v>
      </c>
      <c r="AH59" s="1" t="str">
        <f>IF(Table1[[#This Row],[Parent Education]]="Graduate","Educated_Parent", "Other")</f>
        <v>Other</v>
      </c>
      <c r="AI59" s="1" t="str">
        <f>IF(Table1[[#This Row],[Assignments Avg]]&lt;70,"Need Practice","Ok")</f>
        <v>Ok</v>
      </c>
      <c r="AJ59" s="1" t="str">
        <f>Table1[[#This Row],[Frist_Name ]]&amp;" -"&amp;Table1[[#This Row],[Class]]</f>
        <v>Shruti -10</v>
      </c>
      <c r="AK59" s="1" t="str">
        <f>RIGHT(Table1[[#This Row],[Full Name ]],LEN(Table1[[#This Row],[Full Name ]])-SEARCH(" ",Table1[[#This Row],[Full Name ]]))</f>
        <v>Mehta</v>
      </c>
      <c r="AL59" s="1" t="str">
        <f>LEFT(Table1[[#This Row],[Full Name ]],SEARCH(" ",Table1[[#This Row],[Full Name ]]))</f>
        <v xml:space="preserve">Shruti </v>
      </c>
      <c r="AM59" s="1">
        <f>LEN(Table1[[#This Row],[Frist_Name ]])</f>
        <v>6</v>
      </c>
      <c r="AN59" s="1"/>
      <c r="AO59" s="1"/>
    </row>
    <row r="60" spans="1:46" x14ac:dyDescent="0.3">
      <c r="A60" s="1">
        <v>59</v>
      </c>
      <c r="B60" s="1" t="s">
        <v>142</v>
      </c>
      <c r="C60" s="1" t="s">
        <v>72</v>
      </c>
      <c r="D60" t="str">
        <f>_xlfn.CONCAT(Table1[[#This Row],[Frist_Name ]]," ",Table1[[#This Row],[Last_Name]])</f>
        <v>Pranav Iyer</v>
      </c>
      <c r="E60" s="1">
        <v>16</v>
      </c>
      <c r="F60" s="1" t="s">
        <v>19</v>
      </c>
      <c r="G60" s="1">
        <v>12</v>
      </c>
      <c r="H60" s="1" t="s">
        <v>29</v>
      </c>
      <c r="I60" s="1">
        <v>79</v>
      </c>
      <c r="J60" s="1">
        <v>73</v>
      </c>
      <c r="K60" s="1">
        <v>61</v>
      </c>
      <c r="L60" s="1">
        <v>66</v>
      </c>
      <c r="M60" s="1">
        <v>70</v>
      </c>
      <c r="N60" s="1">
        <v>68</v>
      </c>
      <c r="O60" s="1">
        <v>11</v>
      </c>
      <c r="P60" s="1" t="s">
        <v>30</v>
      </c>
      <c r="Q60" s="1" t="s">
        <v>22</v>
      </c>
      <c r="R60" s="1" t="s">
        <v>23</v>
      </c>
      <c r="S60" s="1">
        <v>66</v>
      </c>
      <c r="T60" s="1" t="s">
        <v>32</v>
      </c>
      <c r="U60" s="1" t="s">
        <v>24</v>
      </c>
      <c r="W60">
        <f>(Table1[[#This Row],[Assignments Avg]]*0.1)+(Table1[[#This Row],[Midterm Score]]*0.3)+(Table1[[#This Row],[Final Exam Score]]*0.45)+(Table1[[#This Row],[Project Score]]*0.1)</f>
        <v>62.3</v>
      </c>
      <c r="X60" s="1" t="str">
        <f>IF(OR(Table1[[#This Row],[Attendance %]]&lt;57,Table1[[#This Row],[Final Score]]&lt;45),"At-Risk","Ok")</f>
        <v>Ok</v>
      </c>
      <c r="Y60" s="1" t="str">
        <f>IF(Table1[[#This Row],[Study Hours]]&lt;5,"Low Study","Normal")</f>
        <v>Normal</v>
      </c>
      <c r="Z60" s="1">
        <f>Table1[[#This Row],[Final Exam Score]]-Table1[[#This Row],[Midterm Score]]</f>
        <v>5</v>
      </c>
      <c r="AA60" s="1" t="str">
        <f>IF(Table1[[#This Row],[Final Score]]&gt;=80,"A",IF(Table1[[#This Row],[Final Score]]&gt;=70,"B",IF(Table1[[#This Row],[Final Score]]&gt;=60,"C",IF(Table1[[#This Row],[Final Score]]&gt;=50,"D","F"))))</f>
        <v>C</v>
      </c>
      <c r="AB60" s="1">
        <f>Table1[[#This Row],[Final Score]]+5</f>
        <v>71</v>
      </c>
      <c r="AC60" s="1" t="str">
        <f>IF(Table1[[#This Row],[Final Score]]&gt;=40,"Pass","Fail")</f>
        <v>Pass</v>
      </c>
      <c r="AD60" t="str">
        <f>IF(OR(Table1[[#This Row],[Final Score]]&gt;=80,Table1[[#This Row],[Attendance %]]&gt;=90),"High Performer","normal")</f>
        <v>normal</v>
      </c>
      <c r="AE60" s="1" t="str">
        <f>IF(Table1[[#This Row],[Gender]]="Male","Boy","Girl")</f>
        <v>Boy</v>
      </c>
      <c r="AF60" s="1" t="str">
        <f>IF(Table1[[#This Row],[Final Score]]&gt;90,"Certificate","No Allow Certificate")</f>
        <v>No Allow Certificate</v>
      </c>
      <c r="AG60" s="1" t="str">
        <f>IF(Table1[[#This Row],[Extracurricular]]="Yes","Active","Not Active")</f>
        <v>Not Active</v>
      </c>
      <c r="AH60" s="1" t="str">
        <f>IF(Table1[[#This Row],[Parent Education]]="Graduate","Educated_Parent", "Other")</f>
        <v>Educated_Parent</v>
      </c>
      <c r="AI60" s="1" t="str">
        <f>IF(Table1[[#This Row],[Assignments Avg]]&lt;70,"Need Practice","Ok")</f>
        <v>Ok</v>
      </c>
      <c r="AJ60" s="1" t="str">
        <f>Table1[[#This Row],[Frist_Name ]]&amp;" -"&amp;Table1[[#This Row],[Class]]</f>
        <v>Pranav -12</v>
      </c>
      <c r="AK60" s="1" t="str">
        <f>RIGHT(Table1[[#This Row],[Full Name ]],LEN(Table1[[#This Row],[Full Name ]])-SEARCH(" ",Table1[[#This Row],[Full Name ]]))</f>
        <v>Iyer</v>
      </c>
      <c r="AL60" s="1" t="str">
        <f>LEFT(Table1[[#This Row],[Full Name ]],SEARCH(" ",Table1[[#This Row],[Full Name ]]))</f>
        <v xml:space="preserve">Pranav </v>
      </c>
      <c r="AM60" s="1">
        <f>LEN(Table1[[#This Row],[Frist_Name ]])</f>
        <v>6</v>
      </c>
      <c r="AN60" s="1"/>
      <c r="AO60" s="1"/>
    </row>
    <row r="61" spans="1:46" x14ac:dyDescent="0.3">
      <c r="A61" s="1">
        <v>60</v>
      </c>
      <c r="B61" s="1" t="s">
        <v>143</v>
      </c>
      <c r="C61" s="1" t="s">
        <v>97</v>
      </c>
      <c r="D61" t="str">
        <f>_xlfn.CONCAT(Table1[[#This Row],[Frist_Name ]]," ",Table1[[#This Row],[Last_Name]])</f>
        <v>Aarohi Reddy</v>
      </c>
      <c r="E61" s="1">
        <v>15</v>
      </c>
      <c r="F61" s="1" t="s">
        <v>25</v>
      </c>
      <c r="G61" s="1">
        <v>12</v>
      </c>
      <c r="H61" s="1" t="s">
        <v>29</v>
      </c>
      <c r="I61" s="1">
        <v>91</v>
      </c>
      <c r="J61" s="1">
        <v>88</v>
      </c>
      <c r="K61" s="1">
        <v>84</v>
      </c>
      <c r="L61" s="1">
        <v>87</v>
      </c>
      <c r="M61" s="1">
        <v>89</v>
      </c>
      <c r="N61" s="1">
        <v>90</v>
      </c>
      <c r="O61" s="1">
        <v>20</v>
      </c>
      <c r="P61" s="1" t="s">
        <v>21</v>
      </c>
      <c r="Q61" s="1" t="s">
        <v>22</v>
      </c>
      <c r="R61" s="1" t="s">
        <v>27</v>
      </c>
      <c r="S61" s="1">
        <v>88</v>
      </c>
      <c r="T61" s="1" t="s">
        <v>20</v>
      </c>
      <c r="U61" s="1" t="s">
        <v>24</v>
      </c>
      <c r="W61">
        <f>(Table1[[#This Row],[Assignments Avg]]*0.1)+(Table1[[#This Row],[Midterm Score]]*0.3)+(Table1[[#This Row],[Final Exam Score]]*0.45)+(Table1[[#This Row],[Project Score]]*0.1)</f>
        <v>82.050000000000011</v>
      </c>
      <c r="X61" s="1" t="str">
        <f>IF(OR(Table1[[#This Row],[Attendance %]]&lt;57,Table1[[#This Row],[Final Score]]&lt;45),"At-Risk","Ok")</f>
        <v>Ok</v>
      </c>
      <c r="Y61" s="1" t="str">
        <f>IF(Table1[[#This Row],[Study Hours]]&lt;5,"Low Study","Normal")</f>
        <v>Normal</v>
      </c>
      <c r="Z61" s="1">
        <f>Table1[[#This Row],[Final Exam Score]]-Table1[[#This Row],[Midterm Score]]</f>
        <v>3</v>
      </c>
      <c r="AA61" s="1" t="str">
        <f>IF(Table1[[#This Row],[Final Score]]&gt;=80,"A",IF(Table1[[#This Row],[Final Score]]&gt;=70,"B",IF(Table1[[#This Row],[Final Score]]&gt;=60,"C",IF(Table1[[#This Row],[Final Score]]&gt;=50,"D","F"))))</f>
        <v>A</v>
      </c>
      <c r="AB61" s="1">
        <f>Table1[[#This Row],[Final Score]]+5</f>
        <v>93</v>
      </c>
      <c r="AC61" s="1" t="str">
        <f>IF(Table1[[#This Row],[Final Score]]&gt;=40,"Pass","Fail")</f>
        <v>Pass</v>
      </c>
      <c r="AD61" t="str">
        <f>IF(OR(Table1[[#This Row],[Final Score]]&gt;=80,Table1[[#This Row],[Attendance %]]&gt;=90),"High Performer","normal")</f>
        <v>High Performer</v>
      </c>
      <c r="AE61" s="1" t="str">
        <f>IF(Table1[[#This Row],[Gender]]="Male","Boy","Girl")</f>
        <v>Girl</v>
      </c>
      <c r="AF61" s="1" t="str">
        <f>IF(Table1[[#This Row],[Final Score]]&gt;90,"Certificate","No Allow Certificate")</f>
        <v>No Allow Certificate</v>
      </c>
      <c r="AG61" s="1" t="str">
        <f>IF(Table1[[#This Row],[Extracurricular]]="Yes","Active","Not Active")</f>
        <v>Active</v>
      </c>
      <c r="AH61" s="1" t="str">
        <f>IF(Table1[[#This Row],[Parent Education]]="Graduate","Educated_Parent", "Other")</f>
        <v>Educated_Parent</v>
      </c>
      <c r="AI61" s="1" t="str">
        <f>IF(Table1[[#This Row],[Assignments Avg]]&lt;70,"Need Practice","Ok")</f>
        <v>Ok</v>
      </c>
      <c r="AJ61" s="1" t="str">
        <f>Table1[[#This Row],[Frist_Name ]]&amp;" -"&amp;Table1[[#This Row],[Class]]</f>
        <v>Aarohi -12</v>
      </c>
      <c r="AK61" s="1" t="str">
        <f>RIGHT(Table1[[#This Row],[Full Name ]],LEN(Table1[[#This Row],[Full Name ]])-SEARCH(" ",Table1[[#This Row],[Full Name ]]))</f>
        <v>Reddy</v>
      </c>
      <c r="AL61" s="1" t="str">
        <f>LEFT(Table1[[#This Row],[Full Name ]],SEARCH(" ",Table1[[#This Row],[Full Name ]]))</f>
        <v xml:space="preserve">Aarohi </v>
      </c>
      <c r="AM61" s="1">
        <f>LEN(Table1[[#This Row],[Frist_Name ]])</f>
        <v>6</v>
      </c>
      <c r="AN61" s="1"/>
      <c r="AO61" s="1"/>
    </row>
    <row r="62" spans="1:46" x14ac:dyDescent="0.3">
      <c r="A62" s="1">
        <v>61</v>
      </c>
      <c r="B62" s="1" t="s">
        <v>144</v>
      </c>
      <c r="C62" s="1" t="s">
        <v>107</v>
      </c>
      <c r="D62" t="str">
        <f>_xlfn.CONCAT(Table1[[#This Row],[Frist_Name ]]," ",Table1[[#This Row],[Last_Name]])</f>
        <v>Sameer Khan</v>
      </c>
      <c r="E62" s="1">
        <v>16</v>
      </c>
      <c r="F62" s="1" t="s">
        <v>19</v>
      </c>
      <c r="G62" s="1">
        <v>10</v>
      </c>
      <c r="H62" s="1" t="s">
        <v>32</v>
      </c>
      <c r="I62" s="1">
        <v>68</v>
      </c>
      <c r="J62" s="1">
        <v>61</v>
      </c>
      <c r="K62" s="1">
        <v>46</v>
      </c>
      <c r="L62" s="1">
        <v>43</v>
      </c>
      <c r="M62" s="1">
        <v>52</v>
      </c>
      <c r="N62" s="1">
        <v>50</v>
      </c>
      <c r="O62" s="1">
        <v>7</v>
      </c>
      <c r="P62" s="1" t="s">
        <v>30</v>
      </c>
      <c r="Q62" s="1" t="s">
        <v>31</v>
      </c>
      <c r="R62" s="1" t="s">
        <v>33</v>
      </c>
      <c r="S62" s="1">
        <v>46</v>
      </c>
      <c r="T62" s="1" t="s">
        <v>34</v>
      </c>
      <c r="U62" s="1" t="s">
        <v>35</v>
      </c>
      <c r="W62">
        <f>(Table1[[#This Row],[Assignments Avg]]*0.1)+(Table1[[#This Row],[Midterm Score]]*0.3)+(Table1[[#This Row],[Final Exam Score]]*0.45)+(Table1[[#This Row],[Project Score]]*0.1)</f>
        <v>44.45</v>
      </c>
      <c r="X62" s="1" t="str">
        <f>IF(OR(Table1[[#This Row],[Attendance %]]&lt;57,Table1[[#This Row],[Final Score]]&lt;45),"At-Risk","Ok")</f>
        <v>Ok</v>
      </c>
      <c r="Y62" s="1" t="str">
        <f>IF(Table1[[#This Row],[Study Hours]]&lt;5,"Low Study","Normal")</f>
        <v>Normal</v>
      </c>
      <c r="Z62" s="1">
        <f>Table1[[#This Row],[Final Exam Score]]-Table1[[#This Row],[Midterm Score]]</f>
        <v>-3</v>
      </c>
      <c r="AA62" s="1" t="str">
        <f>IF(Table1[[#This Row],[Final Score]]&gt;=80,"A",IF(Table1[[#This Row],[Final Score]]&gt;=70,"B",IF(Table1[[#This Row],[Final Score]]&gt;=60,"C",IF(Table1[[#This Row],[Final Score]]&gt;=50,"D","F"))))</f>
        <v>F</v>
      </c>
      <c r="AB62" s="1">
        <f>Table1[[#This Row],[Final Score]]+5</f>
        <v>51</v>
      </c>
      <c r="AC62" s="1" t="str">
        <f>IF(Table1[[#This Row],[Final Score]]&gt;=40,"Pass","Fail")</f>
        <v>Pass</v>
      </c>
      <c r="AD62" t="str">
        <f>IF(OR(Table1[[#This Row],[Final Score]]&gt;=80,Table1[[#This Row],[Attendance %]]&gt;=90),"High Performer","normal")</f>
        <v>normal</v>
      </c>
      <c r="AE62" s="1" t="str">
        <f>IF(Table1[[#This Row],[Gender]]="Male","Boy","Girl")</f>
        <v>Boy</v>
      </c>
      <c r="AF62" s="1" t="str">
        <f>IF(Table1[[#This Row],[Final Score]]&gt;90,"Certificate","No Allow Certificate")</f>
        <v>No Allow Certificate</v>
      </c>
      <c r="AG62" s="1" t="str">
        <f>IF(Table1[[#This Row],[Extracurricular]]="Yes","Active","Not Active")</f>
        <v>Not Active</v>
      </c>
      <c r="AH62" s="1" t="str">
        <f>IF(Table1[[#This Row],[Parent Education]]="Graduate","Educated_Parent", "Other")</f>
        <v>Other</v>
      </c>
      <c r="AI62" s="1" t="str">
        <f>IF(Table1[[#This Row],[Assignments Avg]]&lt;70,"Need Practice","Ok")</f>
        <v>Need Practice</v>
      </c>
      <c r="AJ62" s="1" t="str">
        <f>Table1[[#This Row],[Frist_Name ]]&amp;" -"&amp;Table1[[#This Row],[Class]]</f>
        <v>Sameer -10</v>
      </c>
      <c r="AK62" s="1" t="str">
        <f>RIGHT(Table1[[#This Row],[Full Name ]],LEN(Table1[[#This Row],[Full Name ]])-SEARCH(" ",Table1[[#This Row],[Full Name ]]))</f>
        <v>Khan</v>
      </c>
      <c r="AL62" s="1" t="str">
        <f>LEFT(Table1[[#This Row],[Full Name ]],SEARCH(" ",Table1[[#This Row],[Full Name ]]))</f>
        <v xml:space="preserve">Sameer </v>
      </c>
      <c r="AM62" s="1">
        <f>LEN(Table1[[#This Row],[Frist_Name ]])</f>
        <v>6</v>
      </c>
      <c r="AN62" s="1"/>
      <c r="AO62" s="1"/>
    </row>
    <row r="63" spans="1:46" x14ac:dyDescent="0.3">
      <c r="A63" s="1">
        <v>62</v>
      </c>
      <c r="B63" s="1" t="s">
        <v>145</v>
      </c>
      <c r="C63" s="1" t="s">
        <v>84</v>
      </c>
      <c r="D63" t="str">
        <f>_xlfn.CONCAT(Table1[[#This Row],[Frist_Name ]]," ",Table1[[#This Row],[Last_Name]])</f>
        <v>Trisha Agarwal</v>
      </c>
      <c r="E63" s="1">
        <v>15</v>
      </c>
      <c r="F63" s="1" t="s">
        <v>25</v>
      </c>
      <c r="G63" s="1">
        <v>10</v>
      </c>
      <c r="H63" s="1" t="s">
        <v>32</v>
      </c>
      <c r="I63" s="1">
        <v>93</v>
      </c>
      <c r="J63" s="1">
        <v>89</v>
      </c>
      <c r="K63" s="1">
        <v>85</v>
      </c>
      <c r="L63" s="1">
        <v>90</v>
      </c>
      <c r="M63" s="1">
        <v>91</v>
      </c>
      <c r="N63" s="1">
        <v>92</v>
      </c>
      <c r="O63" s="1">
        <v>21</v>
      </c>
      <c r="P63" s="1" t="s">
        <v>21</v>
      </c>
      <c r="Q63" s="1" t="s">
        <v>26</v>
      </c>
      <c r="R63" s="1" t="s">
        <v>27</v>
      </c>
      <c r="S63" s="1">
        <v>89</v>
      </c>
      <c r="T63" s="1" t="s">
        <v>20</v>
      </c>
      <c r="U63" s="1" t="s">
        <v>24</v>
      </c>
      <c r="W63">
        <f>(Table1[[#This Row],[Assignments Avg]]*0.1)+(Table1[[#This Row],[Midterm Score]]*0.3)+(Table1[[#This Row],[Final Exam Score]]*0.45)+(Table1[[#This Row],[Project Score]]*0.1)</f>
        <v>84</v>
      </c>
      <c r="X63" s="1" t="str">
        <f>IF(OR(Table1[[#This Row],[Attendance %]]&lt;57,Table1[[#This Row],[Final Score]]&lt;45),"At-Risk","Ok")</f>
        <v>Ok</v>
      </c>
      <c r="Y63" s="1" t="str">
        <f>IF(Table1[[#This Row],[Study Hours]]&lt;5,"Low Study","Normal")</f>
        <v>Normal</v>
      </c>
      <c r="Z63" s="1">
        <f>Table1[[#This Row],[Final Exam Score]]-Table1[[#This Row],[Midterm Score]]</f>
        <v>5</v>
      </c>
      <c r="AA63" s="1" t="str">
        <f>IF(Table1[[#This Row],[Final Score]]&gt;=80,"A",IF(Table1[[#This Row],[Final Score]]&gt;=70,"B",IF(Table1[[#This Row],[Final Score]]&gt;=60,"C",IF(Table1[[#This Row],[Final Score]]&gt;=50,"D","F"))))</f>
        <v>A</v>
      </c>
      <c r="AB63" s="1">
        <f>Table1[[#This Row],[Final Score]]+5</f>
        <v>94</v>
      </c>
      <c r="AC63" s="1" t="str">
        <f>IF(Table1[[#This Row],[Final Score]]&gt;=40,"Pass","Fail")</f>
        <v>Pass</v>
      </c>
      <c r="AD63" t="str">
        <f>IF(OR(Table1[[#This Row],[Final Score]]&gt;=80,Table1[[#This Row],[Attendance %]]&gt;=90),"High Performer","normal")</f>
        <v>High Performer</v>
      </c>
      <c r="AE63" s="1" t="str">
        <f>IF(Table1[[#This Row],[Gender]]="Male","Boy","Girl")</f>
        <v>Girl</v>
      </c>
      <c r="AF63" s="1" t="str">
        <f>IF(Table1[[#This Row],[Final Score]]&gt;90,"Certificate","No Allow Certificate")</f>
        <v>No Allow Certificate</v>
      </c>
      <c r="AG63" s="1" t="str">
        <f>IF(Table1[[#This Row],[Extracurricular]]="Yes","Active","Not Active")</f>
        <v>Active</v>
      </c>
      <c r="AH63" s="1" t="str">
        <f>IF(Table1[[#This Row],[Parent Education]]="Graduate","Educated_Parent", "Other")</f>
        <v>Other</v>
      </c>
      <c r="AI63" s="1" t="str">
        <f>IF(Table1[[#This Row],[Assignments Avg]]&lt;70,"Need Practice","Ok")</f>
        <v>Ok</v>
      </c>
      <c r="AJ63" s="1" t="str">
        <f>Table1[[#This Row],[Frist_Name ]]&amp;" -"&amp;Table1[[#This Row],[Class]]</f>
        <v>Trisha -10</v>
      </c>
      <c r="AK63" s="1" t="str">
        <f>RIGHT(Table1[[#This Row],[Full Name ]],LEN(Table1[[#This Row],[Full Name ]])-SEARCH(" ",Table1[[#This Row],[Full Name ]]))</f>
        <v>Agarwal</v>
      </c>
      <c r="AL63" s="1" t="str">
        <f>LEFT(Table1[[#This Row],[Full Name ]],SEARCH(" ",Table1[[#This Row],[Full Name ]]))</f>
        <v xml:space="preserve">Trisha </v>
      </c>
      <c r="AM63" s="1">
        <f>LEN(Table1[[#This Row],[Frist_Name ]])</f>
        <v>6</v>
      </c>
      <c r="AN63" s="1"/>
      <c r="AO63" s="1"/>
    </row>
    <row r="64" spans="1:46" x14ac:dyDescent="0.3">
      <c r="A64" s="1">
        <v>63</v>
      </c>
      <c r="B64" s="1" t="s">
        <v>146</v>
      </c>
      <c r="C64" s="1" t="s">
        <v>50</v>
      </c>
      <c r="D64" t="str">
        <f>_xlfn.CONCAT(Table1[[#This Row],[Frist_Name ]]," ",Table1[[#This Row],[Last_Name]])</f>
        <v>Ronit Kumar</v>
      </c>
      <c r="E64" s="1">
        <v>16</v>
      </c>
      <c r="F64" s="1" t="s">
        <v>19</v>
      </c>
      <c r="G64" s="1">
        <v>10</v>
      </c>
      <c r="H64" s="1" t="s">
        <v>34</v>
      </c>
      <c r="I64" s="1">
        <v>82</v>
      </c>
      <c r="J64" s="1">
        <v>76</v>
      </c>
      <c r="K64" s="1">
        <v>63</v>
      </c>
      <c r="L64" s="1">
        <v>69</v>
      </c>
      <c r="M64" s="1">
        <v>71</v>
      </c>
      <c r="N64" s="1">
        <v>73</v>
      </c>
      <c r="O64" s="1">
        <v>12</v>
      </c>
      <c r="P64" s="1" t="s">
        <v>21</v>
      </c>
      <c r="Q64" s="1" t="s">
        <v>22</v>
      </c>
      <c r="R64" s="1" t="s">
        <v>23</v>
      </c>
      <c r="S64" s="1">
        <v>69</v>
      </c>
      <c r="T64" s="1" t="s">
        <v>29</v>
      </c>
      <c r="U64" s="1" t="s">
        <v>24</v>
      </c>
      <c r="W64">
        <f>(Table1[[#This Row],[Assignments Avg]]*0.1)+(Table1[[#This Row],[Midterm Score]]*0.3)+(Table1[[#This Row],[Final Exam Score]]*0.45)+(Table1[[#This Row],[Project Score]]*0.1)</f>
        <v>64.649999999999991</v>
      </c>
      <c r="X64" s="1" t="str">
        <f>IF(OR(Table1[[#This Row],[Attendance %]]&lt;57,Table1[[#This Row],[Final Score]]&lt;45),"At-Risk","Ok")</f>
        <v>Ok</v>
      </c>
      <c r="Y64" s="1" t="str">
        <f>IF(Table1[[#This Row],[Study Hours]]&lt;5,"Low Study","Normal")</f>
        <v>Normal</v>
      </c>
      <c r="Z64" s="1">
        <f>Table1[[#This Row],[Final Exam Score]]-Table1[[#This Row],[Midterm Score]]</f>
        <v>6</v>
      </c>
      <c r="AA64" s="1" t="str">
        <f>IF(Table1[[#This Row],[Final Score]]&gt;=80,"A",IF(Table1[[#This Row],[Final Score]]&gt;=70,"B",IF(Table1[[#This Row],[Final Score]]&gt;=60,"C",IF(Table1[[#This Row],[Final Score]]&gt;=50,"D","F"))))</f>
        <v>C</v>
      </c>
      <c r="AB64" s="1">
        <f>Table1[[#This Row],[Final Score]]+5</f>
        <v>74</v>
      </c>
      <c r="AC64" s="1" t="str">
        <f>IF(Table1[[#This Row],[Final Score]]&gt;=40,"Pass","Fail")</f>
        <v>Pass</v>
      </c>
      <c r="AD64" t="str">
        <f>IF(OR(Table1[[#This Row],[Final Score]]&gt;=80,Table1[[#This Row],[Attendance %]]&gt;=90),"High Performer","normal")</f>
        <v>normal</v>
      </c>
      <c r="AE64" s="1" t="str">
        <f>IF(Table1[[#This Row],[Gender]]="Male","Boy","Girl")</f>
        <v>Boy</v>
      </c>
      <c r="AF64" s="1" t="str">
        <f>IF(Table1[[#This Row],[Final Score]]&gt;90,"Certificate","No Allow Certificate")</f>
        <v>No Allow Certificate</v>
      </c>
      <c r="AG64" s="1" t="str">
        <f>IF(Table1[[#This Row],[Extracurricular]]="Yes","Active","Not Active")</f>
        <v>Active</v>
      </c>
      <c r="AH64" s="1" t="str">
        <f>IF(Table1[[#This Row],[Parent Education]]="Graduate","Educated_Parent", "Other")</f>
        <v>Educated_Parent</v>
      </c>
      <c r="AI64" s="1" t="str">
        <f>IF(Table1[[#This Row],[Assignments Avg]]&lt;70,"Need Practice","Ok")</f>
        <v>Ok</v>
      </c>
      <c r="AJ64" s="1" t="str">
        <f>Table1[[#This Row],[Frist_Name ]]&amp;" -"&amp;Table1[[#This Row],[Class]]</f>
        <v>Ronit -10</v>
      </c>
      <c r="AK64" s="1" t="str">
        <f>RIGHT(Table1[[#This Row],[Full Name ]],LEN(Table1[[#This Row],[Full Name ]])-SEARCH(" ",Table1[[#This Row],[Full Name ]]))</f>
        <v>Kumar</v>
      </c>
      <c r="AL64" s="1" t="str">
        <f>LEFT(Table1[[#This Row],[Full Name ]],SEARCH(" ",Table1[[#This Row],[Full Name ]]))</f>
        <v xml:space="preserve">Ronit </v>
      </c>
      <c r="AM64" s="1">
        <f>LEN(Table1[[#This Row],[Frist_Name ]])</f>
        <v>5</v>
      </c>
      <c r="AN64" s="1"/>
      <c r="AO64" s="1"/>
    </row>
    <row r="65" spans="1:46" x14ac:dyDescent="0.3">
      <c r="A65" s="1">
        <v>64</v>
      </c>
      <c r="B65" s="1" t="s">
        <v>147</v>
      </c>
      <c r="C65" s="1" t="s">
        <v>82</v>
      </c>
      <c r="D65" t="str">
        <f>_xlfn.CONCAT(Table1[[#This Row],[Frist_Name ]]," ",Table1[[#This Row],[Last_Name]])</f>
        <v>Mahi Jain</v>
      </c>
      <c r="E65" s="1">
        <v>15</v>
      </c>
      <c r="F65" s="1" t="s">
        <v>25</v>
      </c>
      <c r="G65" s="1">
        <v>10</v>
      </c>
      <c r="H65" s="1" t="s">
        <v>34</v>
      </c>
      <c r="I65" s="1">
        <v>75</v>
      </c>
      <c r="J65" s="1">
        <v>68</v>
      </c>
      <c r="K65" s="1">
        <v>54</v>
      </c>
      <c r="L65" s="1">
        <v>58</v>
      </c>
      <c r="M65" s="1">
        <v>62</v>
      </c>
      <c r="N65" s="1">
        <v>64</v>
      </c>
      <c r="O65" s="1">
        <v>9</v>
      </c>
      <c r="P65" s="1" t="s">
        <v>30</v>
      </c>
      <c r="Q65" s="1" t="s">
        <v>22</v>
      </c>
      <c r="R65" s="1" t="s">
        <v>23</v>
      </c>
      <c r="S65" s="1">
        <v>59</v>
      </c>
      <c r="T65" s="1" t="s">
        <v>32</v>
      </c>
      <c r="U65" s="1" t="s">
        <v>24</v>
      </c>
      <c r="W65">
        <f>(Table1[[#This Row],[Assignments Avg]]*0.1)+(Table1[[#This Row],[Midterm Score]]*0.3)+(Table1[[#This Row],[Final Exam Score]]*0.45)+(Table1[[#This Row],[Project Score]]*0.1)</f>
        <v>55.300000000000004</v>
      </c>
      <c r="X65" s="1" t="str">
        <f>IF(OR(Table1[[#This Row],[Attendance %]]&lt;57,Table1[[#This Row],[Final Score]]&lt;45),"At-Risk","Ok")</f>
        <v>Ok</v>
      </c>
      <c r="Y65" s="1" t="str">
        <f>IF(Table1[[#This Row],[Study Hours]]&lt;5,"Low Study","Normal")</f>
        <v>Normal</v>
      </c>
      <c r="Z65" s="1">
        <f>Table1[[#This Row],[Final Exam Score]]-Table1[[#This Row],[Midterm Score]]</f>
        <v>4</v>
      </c>
      <c r="AA65" s="1" t="str">
        <f>IF(Table1[[#This Row],[Final Score]]&gt;=80,"A",IF(Table1[[#This Row],[Final Score]]&gt;=70,"B",IF(Table1[[#This Row],[Final Score]]&gt;=60,"C",IF(Table1[[#This Row],[Final Score]]&gt;=50,"D","F"))))</f>
        <v>D</v>
      </c>
      <c r="AB65" s="1">
        <f>Table1[[#This Row],[Final Score]]+5</f>
        <v>64</v>
      </c>
      <c r="AC65" s="1" t="str">
        <f>IF(Table1[[#This Row],[Final Score]]&gt;=40,"Pass","Fail")</f>
        <v>Pass</v>
      </c>
      <c r="AD65" t="str">
        <f>IF(OR(Table1[[#This Row],[Final Score]]&gt;=80,Table1[[#This Row],[Attendance %]]&gt;=90),"High Performer","normal")</f>
        <v>normal</v>
      </c>
      <c r="AE65" s="1" t="str">
        <f>IF(Table1[[#This Row],[Gender]]="Male","Boy","Girl")</f>
        <v>Girl</v>
      </c>
      <c r="AF65" s="1" t="str">
        <f>IF(Table1[[#This Row],[Final Score]]&gt;90,"Certificate","No Allow Certificate")</f>
        <v>No Allow Certificate</v>
      </c>
      <c r="AG65" s="1" t="str">
        <f>IF(Table1[[#This Row],[Extracurricular]]="Yes","Active","Not Active")</f>
        <v>Not Active</v>
      </c>
      <c r="AH65" s="1" t="str">
        <f>IF(Table1[[#This Row],[Parent Education]]="Graduate","Educated_Parent", "Other")</f>
        <v>Educated_Parent</v>
      </c>
      <c r="AI65" s="1" t="str">
        <f>IF(Table1[[#This Row],[Assignments Avg]]&lt;70,"Need Practice","Ok")</f>
        <v>Need Practice</v>
      </c>
      <c r="AJ65" s="1" t="str">
        <f>Table1[[#This Row],[Frist_Name ]]&amp;" -"&amp;Table1[[#This Row],[Class]]</f>
        <v>Mahi -10</v>
      </c>
      <c r="AK65" s="1" t="str">
        <f>RIGHT(Table1[[#This Row],[Full Name ]],LEN(Table1[[#This Row],[Full Name ]])-SEARCH(" ",Table1[[#This Row],[Full Name ]]))</f>
        <v>Jain</v>
      </c>
      <c r="AL65" s="1" t="str">
        <f>LEFT(Table1[[#This Row],[Full Name ]],SEARCH(" ",Table1[[#This Row],[Full Name ]]))</f>
        <v xml:space="preserve">Mahi </v>
      </c>
      <c r="AM65" s="1">
        <f>LEN(Table1[[#This Row],[Frist_Name ]])</f>
        <v>4</v>
      </c>
      <c r="AN65" s="1"/>
      <c r="AO65" s="1"/>
      <c r="AP65" s="5" t="s">
        <v>209</v>
      </c>
      <c r="AQ65" s="5"/>
      <c r="AR65" s="5"/>
      <c r="AS65" s="5"/>
      <c r="AT65" s="5"/>
    </row>
    <row r="66" spans="1:46" x14ac:dyDescent="0.3">
      <c r="A66" s="1">
        <v>65</v>
      </c>
      <c r="B66" s="1" t="s">
        <v>148</v>
      </c>
      <c r="C66" s="1" t="s">
        <v>60</v>
      </c>
      <c r="D66" t="str">
        <f>_xlfn.CONCAT(Table1[[#This Row],[Frist_Name ]]," ",Table1[[#This Row],[Last_Name]])</f>
        <v>Abhinav Rao</v>
      </c>
      <c r="E66" s="1">
        <v>16</v>
      </c>
      <c r="F66" s="1" t="s">
        <v>19</v>
      </c>
      <c r="G66" s="1">
        <v>12</v>
      </c>
      <c r="H66" s="1" t="s">
        <v>20</v>
      </c>
      <c r="I66" s="1">
        <v>57</v>
      </c>
      <c r="J66" s="1">
        <v>49</v>
      </c>
      <c r="K66" s="1">
        <v>35</v>
      </c>
      <c r="L66" s="1">
        <v>31</v>
      </c>
      <c r="M66" s="1">
        <v>42</v>
      </c>
      <c r="N66" s="1">
        <v>40</v>
      </c>
      <c r="O66" s="1">
        <v>4</v>
      </c>
      <c r="P66" s="1" t="s">
        <v>30</v>
      </c>
      <c r="Q66" s="1" t="s">
        <v>31</v>
      </c>
      <c r="R66" s="1" t="s">
        <v>33</v>
      </c>
      <c r="S66" s="1">
        <v>35</v>
      </c>
      <c r="T66" s="1" t="s">
        <v>36</v>
      </c>
      <c r="U66" s="1" t="s">
        <v>35</v>
      </c>
      <c r="W66">
        <f>(Table1[[#This Row],[Assignments Avg]]*0.1)+(Table1[[#This Row],[Midterm Score]]*0.3)+(Table1[[#This Row],[Final Exam Score]]*0.45)+(Table1[[#This Row],[Project Score]]*0.1)</f>
        <v>33.550000000000004</v>
      </c>
      <c r="X66" s="1" t="str">
        <f>IF(OR(Table1[[#This Row],[Attendance %]]&lt;57,Table1[[#This Row],[Final Score]]&lt;45),"At-Risk","Ok")</f>
        <v>At-Risk</v>
      </c>
      <c r="Y66" s="1" t="str">
        <f>IF(Table1[[#This Row],[Study Hours]]&lt;5,"Low Study","Normal")</f>
        <v>Low Study</v>
      </c>
      <c r="Z66" s="1">
        <f>Table1[[#This Row],[Final Exam Score]]-Table1[[#This Row],[Midterm Score]]</f>
        <v>-4</v>
      </c>
      <c r="AA66" s="1" t="str">
        <f>IF(Table1[[#This Row],[Final Score]]&gt;=80,"A",IF(Table1[[#This Row],[Final Score]]&gt;=70,"B",IF(Table1[[#This Row],[Final Score]]&gt;=60,"C",IF(Table1[[#This Row],[Final Score]]&gt;=50,"D","F"))))</f>
        <v>F</v>
      </c>
      <c r="AB66" s="1">
        <f>Table1[[#This Row],[Final Score]]+5</f>
        <v>40</v>
      </c>
      <c r="AC66" s="1" t="str">
        <f>IF(Table1[[#This Row],[Final Score]]&gt;=40,"Pass","Fail")</f>
        <v>Fail</v>
      </c>
      <c r="AD66" t="str">
        <f>IF(OR(Table1[[#This Row],[Final Score]]&gt;=80,Table1[[#This Row],[Attendance %]]&gt;=90),"High Performer","normal")</f>
        <v>normal</v>
      </c>
      <c r="AE66" s="1" t="str">
        <f>IF(Table1[[#This Row],[Gender]]="Male","Boy","Girl")</f>
        <v>Boy</v>
      </c>
      <c r="AF66" s="1" t="str">
        <f>IF(Table1[[#This Row],[Final Score]]&gt;90,"Certificate","No Allow Certificate")</f>
        <v>No Allow Certificate</v>
      </c>
      <c r="AG66" s="1" t="str">
        <f>IF(Table1[[#This Row],[Extracurricular]]="Yes","Active","Not Active")</f>
        <v>Not Active</v>
      </c>
      <c r="AH66" s="1" t="str">
        <f>IF(Table1[[#This Row],[Parent Education]]="Graduate","Educated_Parent", "Other")</f>
        <v>Other</v>
      </c>
      <c r="AI66" s="1" t="str">
        <f>IF(Table1[[#This Row],[Assignments Avg]]&lt;70,"Need Practice","Ok")</f>
        <v>Need Practice</v>
      </c>
      <c r="AJ66" s="1" t="str">
        <f>Table1[[#This Row],[Frist_Name ]]&amp;" -"&amp;Table1[[#This Row],[Class]]</f>
        <v>Abhinav -12</v>
      </c>
      <c r="AK66" s="1" t="str">
        <f>RIGHT(Table1[[#This Row],[Full Name ]],LEN(Table1[[#This Row],[Full Name ]])-SEARCH(" ",Table1[[#This Row],[Full Name ]]))</f>
        <v>Rao</v>
      </c>
      <c r="AL66" s="1" t="str">
        <f>LEFT(Table1[[#This Row],[Full Name ]],SEARCH(" ",Table1[[#This Row],[Full Name ]]))</f>
        <v xml:space="preserve">Abhinav </v>
      </c>
      <c r="AM66" s="1">
        <f>LEN(Table1[[#This Row],[Frist_Name ]])</f>
        <v>7</v>
      </c>
      <c r="AN66" s="1"/>
      <c r="AO66" s="1"/>
      <c r="AP66" s="2" t="s">
        <v>202</v>
      </c>
      <c r="AQ66" t="s">
        <v>210</v>
      </c>
    </row>
    <row r="67" spans="1:46" x14ac:dyDescent="0.3">
      <c r="A67" s="1">
        <v>66</v>
      </c>
      <c r="B67" s="1" t="s">
        <v>51</v>
      </c>
      <c r="C67" s="1" t="s">
        <v>64</v>
      </c>
      <c r="D67" t="str">
        <f>_xlfn.CONCAT(Table1[[#This Row],[Frist_Name ]]," ",Table1[[#This Row],[Last_Name]])</f>
        <v>Diya Malhotra</v>
      </c>
      <c r="E67" s="1">
        <v>15</v>
      </c>
      <c r="F67" s="1" t="s">
        <v>25</v>
      </c>
      <c r="G67" s="1">
        <v>10</v>
      </c>
      <c r="H67" s="1" t="s">
        <v>20</v>
      </c>
      <c r="I67" s="1">
        <v>96</v>
      </c>
      <c r="J67" s="1">
        <v>93</v>
      </c>
      <c r="K67" s="1">
        <v>91</v>
      </c>
      <c r="L67" s="1">
        <v>95</v>
      </c>
      <c r="M67" s="1">
        <v>94</v>
      </c>
      <c r="N67" s="1">
        <v>96</v>
      </c>
      <c r="O67" s="1">
        <v>23</v>
      </c>
      <c r="P67" s="1" t="s">
        <v>21</v>
      </c>
      <c r="Q67" s="1" t="s">
        <v>26</v>
      </c>
      <c r="R67" s="1" t="s">
        <v>27</v>
      </c>
      <c r="S67" s="1">
        <v>94</v>
      </c>
      <c r="T67" s="1" t="s">
        <v>28</v>
      </c>
      <c r="U67" s="1" t="s">
        <v>24</v>
      </c>
      <c r="W67">
        <f>(Table1[[#This Row],[Assignments Avg]]*0.1)+(Table1[[#This Row],[Midterm Score]]*0.3)+(Table1[[#This Row],[Final Exam Score]]*0.45)+(Table1[[#This Row],[Project Score]]*0.1)</f>
        <v>88.75</v>
      </c>
      <c r="X67" s="1" t="str">
        <f>IF(OR(Table1[[#This Row],[Attendance %]]&lt;57,Table1[[#This Row],[Final Score]]&lt;45),"At-Risk","Ok")</f>
        <v>Ok</v>
      </c>
      <c r="Y67" s="1" t="str">
        <f>IF(Table1[[#This Row],[Study Hours]]&lt;5,"Low Study","Normal")</f>
        <v>Normal</v>
      </c>
      <c r="Z67" s="1">
        <f>Table1[[#This Row],[Final Exam Score]]-Table1[[#This Row],[Midterm Score]]</f>
        <v>4</v>
      </c>
      <c r="AA67" s="1" t="str">
        <f>IF(Table1[[#This Row],[Final Score]]&gt;=80,"A",IF(Table1[[#This Row],[Final Score]]&gt;=70,"B",IF(Table1[[#This Row],[Final Score]]&gt;=60,"C",IF(Table1[[#This Row],[Final Score]]&gt;=50,"D","F"))))</f>
        <v>A</v>
      </c>
      <c r="AB67" s="1">
        <f>Table1[[#This Row],[Final Score]]+5</f>
        <v>99</v>
      </c>
      <c r="AC67" s="1" t="str">
        <f>IF(Table1[[#This Row],[Final Score]]&gt;=40,"Pass","Fail")</f>
        <v>Pass</v>
      </c>
      <c r="AD67" t="str">
        <f>IF(OR(Table1[[#This Row],[Final Score]]&gt;=80,Table1[[#This Row],[Attendance %]]&gt;=90),"High Performer","normal")</f>
        <v>High Performer</v>
      </c>
      <c r="AE67" s="1" t="str">
        <f>IF(Table1[[#This Row],[Gender]]="Male","Boy","Girl")</f>
        <v>Girl</v>
      </c>
      <c r="AF67" s="1" t="str">
        <f>IF(Table1[[#This Row],[Final Score]]&gt;90,"Certificate","No Allow Certificate")</f>
        <v>Certificate</v>
      </c>
      <c r="AG67" s="1" t="str">
        <f>IF(Table1[[#This Row],[Extracurricular]]="Yes","Active","Not Active")</f>
        <v>Active</v>
      </c>
      <c r="AH67" s="1" t="str">
        <f>IF(Table1[[#This Row],[Parent Education]]="Graduate","Educated_Parent", "Other")</f>
        <v>Other</v>
      </c>
      <c r="AI67" s="1" t="str">
        <f>IF(Table1[[#This Row],[Assignments Avg]]&lt;70,"Need Practice","Ok")</f>
        <v>Ok</v>
      </c>
      <c r="AJ67" s="1" t="str">
        <f>Table1[[#This Row],[Frist_Name ]]&amp;" -"&amp;Table1[[#This Row],[Class]]</f>
        <v>Diya -10</v>
      </c>
      <c r="AK67" s="1" t="str">
        <f>RIGHT(Table1[[#This Row],[Full Name ]],LEN(Table1[[#This Row],[Full Name ]])-SEARCH(" ",Table1[[#This Row],[Full Name ]]))</f>
        <v>Malhotra</v>
      </c>
      <c r="AL67" s="1" t="str">
        <f>LEFT(Table1[[#This Row],[Full Name ]],SEARCH(" ",Table1[[#This Row],[Full Name ]]))</f>
        <v xml:space="preserve">Diya </v>
      </c>
      <c r="AM67" s="1">
        <f>LEN(Table1[[#This Row],[Frist_Name ]])</f>
        <v>4</v>
      </c>
      <c r="AN67" s="1"/>
      <c r="AO67" s="1"/>
      <c r="AP67" s="3" t="s">
        <v>25</v>
      </c>
      <c r="AQ67">
        <v>88.755102040816325</v>
      </c>
    </row>
    <row r="68" spans="1:46" x14ac:dyDescent="0.3">
      <c r="A68" s="1">
        <v>67</v>
      </c>
      <c r="B68" s="1" t="s">
        <v>149</v>
      </c>
      <c r="C68" s="1" t="s">
        <v>78</v>
      </c>
      <c r="D68" t="str">
        <f>_xlfn.CONCAT(Table1[[#This Row],[Frist_Name ]]," ",Table1[[#This Row],[Last_Name]])</f>
        <v>Yash Thakur</v>
      </c>
      <c r="E68" s="1">
        <v>16</v>
      </c>
      <c r="F68" s="1" t="s">
        <v>19</v>
      </c>
      <c r="G68" s="1">
        <v>12</v>
      </c>
      <c r="H68" s="1" t="s">
        <v>29</v>
      </c>
      <c r="I68" s="1">
        <v>87</v>
      </c>
      <c r="J68" s="1">
        <v>81</v>
      </c>
      <c r="K68" s="1">
        <v>73</v>
      </c>
      <c r="L68" s="1">
        <v>78</v>
      </c>
      <c r="M68" s="1">
        <v>80</v>
      </c>
      <c r="N68" s="1">
        <v>79</v>
      </c>
      <c r="O68" s="1">
        <v>15</v>
      </c>
      <c r="P68" s="1" t="s">
        <v>21</v>
      </c>
      <c r="Q68" s="1" t="s">
        <v>22</v>
      </c>
      <c r="R68" s="1" t="s">
        <v>23</v>
      </c>
      <c r="S68" s="1">
        <v>77</v>
      </c>
      <c r="T68" s="1" t="s">
        <v>29</v>
      </c>
      <c r="U68" s="1" t="s">
        <v>24</v>
      </c>
      <c r="W68">
        <f>(Table1[[#This Row],[Assignments Avg]]*0.1)+(Table1[[#This Row],[Midterm Score]]*0.3)+(Table1[[#This Row],[Final Exam Score]]*0.45)+(Table1[[#This Row],[Project Score]]*0.1)</f>
        <v>73.099999999999994</v>
      </c>
      <c r="X68" s="1" t="str">
        <f>IF(OR(Table1[[#This Row],[Attendance %]]&lt;57,Table1[[#This Row],[Final Score]]&lt;45),"At-Risk","Ok")</f>
        <v>Ok</v>
      </c>
      <c r="Y68" s="1" t="str">
        <f>IF(Table1[[#This Row],[Study Hours]]&lt;5,"Low Study","Normal")</f>
        <v>Normal</v>
      </c>
      <c r="Z68" s="1">
        <f>Table1[[#This Row],[Final Exam Score]]-Table1[[#This Row],[Midterm Score]]</f>
        <v>5</v>
      </c>
      <c r="AA68" s="1" t="str">
        <f>IF(Table1[[#This Row],[Final Score]]&gt;=80,"A",IF(Table1[[#This Row],[Final Score]]&gt;=70,"B",IF(Table1[[#This Row],[Final Score]]&gt;=60,"C",IF(Table1[[#This Row],[Final Score]]&gt;=50,"D","F"))))</f>
        <v>B</v>
      </c>
      <c r="AB68" s="1">
        <f>Table1[[#This Row],[Final Score]]+5</f>
        <v>82</v>
      </c>
      <c r="AC68" s="1" t="str">
        <f>IF(Table1[[#This Row],[Final Score]]&gt;=40,"Pass","Fail")</f>
        <v>Pass</v>
      </c>
      <c r="AD68" t="str">
        <f>IF(OR(Table1[[#This Row],[Final Score]]&gt;=80,Table1[[#This Row],[Attendance %]]&gt;=90),"High Performer","normal")</f>
        <v>normal</v>
      </c>
      <c r="AE68" s="1" t="str">
        <f>IF(Table1[[#This Row],[Gender]]="Male","Boy","Girl")</f>
        <v>Boy</v>
      </c>
      <c r="AF68" s="1" t="str">
        <f>IF(Table1[[#This Row],[Final Score]]&gt;90,"Certificate","No Allow Certificate")</f>
        <v>No Allow Certificate</v>
      </c>
      <c r="AG68" s="1" t="str">
        <f>IF(Table1[[#This Row],[Extracurricular]]="Yes","Active","Not Active")</f>
        <v>Active</v>
      </c>
      <c r="AH68" s="1" t="str">
        <f>IF(Table1[[#This Row],[Parent Education]]="Graduate","Educated_Parent", "Other")</f>
        <v>Educated_Parent</v>
      </c>
      <c r="AI68" s="1" t="str">
        <f>IF(Table1[[#This Row],[Assignments Avg]]&lt;70,"Need Practice","Ok")</f>
        <v>Ok</v>
      </c>
      <c r="AJ68" s="1" t="str">
        <f>Table1[[#This Row],[Frist_Name ]]&amp;" -"&amp;Table1[[#This Row],[Class]]</f>
        <v>Yash -12</v>
      </c>
      <c r="AK68" s="1" t="str">
        <f>RIGHT(Table1[[#This Row],[Full Name ]],LEN(Table1[[#This Row],[Full Name ]])-SEARCH(" ",Table1[[#This Row],[Full Name ]]))</f>
        <v>Thakur</v>
      </c>
      <c r="AL68" s="1" t="str">
        <f>LEFT(Table1[[#This Row],[Full Name ]],SEARCH(" ",Table1[[#This Row],[Full Name ]]))</f>
        <v xml:space="preserve">Yash </v>
      </c>
      <c r="AM68" s="1">
        <f>LEN(Table1[[#This Row],[Frist_Name ]])</f>
        <v>4</v>
      </c>
      <c r="AN68" s="1"/>
      <c r="AO68" s="1"/>
      <c r="AP68" s="3" t="s">
        <v>19</v>
      </c>
      <c r="AQ68">
        <v>74.921568627450981</v>
      </c>
    </row>
    <row r="69" spans="1:46" x14ac:dyDescent="0.3">
      <c r="A69" s="1">
        <v>68</v>
      </c>
      <c r="B69" s="1" t="s">
        <v>150</v>
      </c>
      <c r="C69" s="1" t="s">
        <v>80</v>
      </c>
      <c r="D69" t="str">
        <f>_xlfn.CONCAT(Table1[[#This Row],[Frist_Name ]]," ",Table1[[#This Row],[Last_Name]])</f>
        <v>Kavya Bansal</v>
      </c>
      <c r="E69" s="1">
        <v>15</v>
      </c>
      <c r="F69" s="1" t="s">
        <v>25</v>
      </c>
      <c r="G69" s="1">
        <v>12</v>
      </c>
      <c r="H69" s="1" t="s">
        <v>29</v>
      </c>
      <c r="I69" s="1">
        <v>89</v>
      </c>
      <c r="J69" s="1">
        <v>84</v>
      </c>
      <c r="K69" s="1">
        <v>76</v>
      </c>
      <c r="L69" s="1">
        <v>82</v>
      </c>
      <c r="M69" s="1">
        <v>85</v>
      </c>
      <c r="N69" s="1">
        <v>83</v>
      </c>
      <c r="O69" s="1">
        <v>17</v>
      </c>
      <c r="P69" s="1" t="s">
        <v>21</v>
      </c>
      <c r="Q69" s="1" t="s">
        <v>22</v>
      </c>
      <c r="R69" s="1" t="s">
        <v>23</v>
      </c>
      <c r="S69" s="1">
        <v>81</v>
      </c>
      <c r="T69" s="1" t="s">
        <v>20</v>
      </c>
      <c r="U69" s="1" t="s">
        <v>24</v>
      </c>
      <c r="W69">
        <f>(Table1[[#This Row],[Assignments Avg]]*0.1)+(Table1[[#This Row],[Midterm Score]]*0.3)+(Table1[[#This Row],[Final Exam Score]]*0.45)+(Table1[[#This Row],[Project Score]]*0.1)</f>
        <v>76.599999999999994</v>
      </c>
      <c r="X69" s="1" t="str">
        <f>IF(OR(Table1[[#This Row],[Attendance %]]&lt;57,Table1[[#This Row],[Final Score]]&lt;45),"At-Risk","Ok")</f>
        <v>Ok</v>
      </c>
      <c r="Y69" s="1" t="str">
        <f>IF(Table1[[#This Row],[Study Hours]]&lt;5,"Low Study","Normal")</f>
        <v>Normal</v>
      </c>
      <c r="Z69" s="1">
        <f>Table1[[#This Row],[Final Exam Score]]-Table1[[#This Row],[Midterm Score]]</f>
        <v>6</v>
      </c>
      <c r="AA69" s="1" t="str">
        <f>IF(Table1[[#This Row],[Final Score]]&gt;=80,"A",IF(Table1[[#This Row],[Final Score]]&gt;=70,"B",IF(Table1[[#This Row],[Final Score]]&gt;=60,"C",IF(Table1[[#This Row],[Final Score]]&gt;=50,"D","F"))))</f>
        <v>A</v>
      </c>
      <c r="AB69" s="1">
        <f>Table1[[#This Row],[Final Score]]+5</f>
        <v>86</v>
      </c>
      <c r="AC69" s="1" t="str">
        <f>IF(Table1[[#This Row],[Final Score]]&gt;=40,"Pass","Fail")</f>
        <v>Pass</v>
      </c>
      <c r="AD69" t="str">
        <f>IF(OR(Table1[[#This Row],[Final Score]]&gt;=80,Table1[[#This Row],[Attendance %]]&gt;=90),"High Performer","normal")</f>
        <v>High Performer</v>
      </c>
      <c r="AE69" s="1" t="str">
        <f>IF(Table1[[#This Row],[Gender]]="Male","Boy","Girl")</f>
        <v>Girl</v>
      </c>
      <c r="AF69" s="1" t="str">
        <f>IF(Table1[[#This Row],[Final Score]]&gt;90,"Certificate","No Allow Certificate")</f>
        <v>No Allow Certificate</v>
      </c>
      <c r="AG69" s="1" t="str">
        <f>IF(Table1[[#This Row],[Extracurricular]]="Yes","Active","Not Active")</f>
        <v>Active</v>
      </c>
      <c r="AH69" s="1" t="str">
        <f>IF(Table1[[#This Row],[Parent Education]]="Graduate","Educated_Parent", "Other")</f>
        <v>Educated_Parent</v>
      </c>
      <c r="AI69" s="1" t="str">
        <f>IF(Table1[[#This Row],[Assignments Avg]]&lt;70,"Need Practice","Ok")</f>
        <v>Ok</v>
      </c>
      <c r="AJ69" s="1" t="str">
        <f>Table1[[#This Row],[Frist_Name ]]&amp;" -"&amp;Table1[[#This Row],[Class]]</f>
        <v>Kavya -12</v>
      </c>
      <c r="AK69" s="1" t="str">
        <f>RIGHT(Table1[[#This Row],[Full Name ]],LEN(Table1[[#This Row],[Full Name ]])-SEARCH(" ",Table1[[#This Row],[Full Name ]]))</f>
        <v>Bansal</v>
      </c>
      <c r="AL69" s="1" t="str">
        <f>LEFT(Table1[[#This Row],[Full Name ]],SEARCH(" ",Table1[[#This Row],[Full Name ]]))</f>
        <v xml:space="preserve">Kavya </v>
      </c>
      <c r="AM69" s="1">
        <f>LEN(Table1[[#This Row],[Frist_Name ]])</f>
        <v>5</v>
      </c>
      <c r="AN69" s="1"/>
      <c r="AO69" s="1"/>
      <c r="AP69" s="3" t="s">
        <v>203</v>
      </c>
      <c r="AQ69">
        <v>81.7</v>
      </c>
    </row>
    <row r="70" spans="1:46" x14ac:dyDescent="0.3">
      <c r="A70" s="1">
        <v>69</v>
      </c>
      <c r="B70" s="1" t="s">
        <v>151</v>
      </c>
      <c r="C70" s="1" t="s">
        <v>76</v>
      </c>
      <c r="D70" t="str">
        <f>_xlfn.CONCAT(Table1[[#This Row],[Frist_Name ]]," ",Table1[[#This Row],[Last_Name]])</f>
        <v>Ritvik Sethi</v>
      </c>
      <c r="E70" s="1">
        <v>16</v>
      </c>
      <c r="F70" s="1" t="s">
        <v>19</v>
      </c>
      <c r="G70" s="1">
        <v>10</v>
      </c>
      <c r="H70" s="1" t="s">
        <v>32</v>
      </c>
      <c r="I70" s="1">
        <v>70</v>
      </c>
      <c r="J70" s="1">
        <v>62</v>
      </c>
      <c r="K70" s="1">
        <v>45</v>
      </c>
      <c r="L70" s="1">
        <v>41</v>
      </c>
      <c r="M70" s="1">
        <v>50</v>
      </c>
      <c r="N70" s="1">
        <v>53</v>
      </c>
      <c r="O70" s="1">
        <v>6</v>
      </c>
      <c r="P70" s="1" t="s">
        <v>30</v>
      </c>
      <c r="Q70" s="1" t="s">
        <v>31</v>
      </c>
      <c r="R70" s="1" t="s">
        <v>33</v>
      </c>
      <c r="S70" s="1">
        <v>45</v>
      </c>
      <c r="T70" s="1" t="s">
        <v>34</v>
      </c>
      <c r="U70" s="1" t="s">
        <v>35</v>
      </c>
      <c r="W70">
        <f>(Table1[[#This Row],[Assignments Avg]]*0.1)+(Table1[[#This Row],[Midterm Score]]*0.3)+(Table1[[#This Row],[Final Exam Score]]*0.45)+(Table1[[#This Row],[Project Score]]*0.1)</f>
        <v>43.15</v>
      </c>
      <c r="X70" s="1" t="str">
        <f>IF(OR(Table1[[#This Row],[Attendance %]]&lt;57,Table1[[#This Row],[Final Score]]&lt;45),"At-Risk","Ok")</f>
        <v>Ok</v>
      </c>
      <c r="Y70" s="1" t="str">
        <f>IF(Table1[[#This Row],[Study Hours]]&lt;5,"Low Study","Normal")</f>
        <v>Normal</v>
      </c>
      <c r="Z70" s="1">
        <f>Table1[[#This Row],[Final Exam Score]]-Table1[[#This Row],[Midterm Score]]</f>
        <v>-4</v>
      </c>
      <c r="AA70" s="1" t="str">
        <f>IF(Table1[[#This Row],[Final Score]]&gt;=80,"A",IF(Table1[[#This Row],[Final Score]]&gt;=70,"B",IF(Table1[[#This Row],[Final Score]]&gt;=60,"C",IF(Table1[[#This Row],[Final Score]]&gt;=50,"D","F"))))</f>
        <v>F</v>
      </c>
      <c r="AB70" s="1">
        <f>Table1[[#This Row],[Final Score]]+5</f>
        <v>50</v>
      </c>
      <c r="AC70" s="1" t="str">
        <f>IF(Table1[[#This Row],[Final Score]]&gt;=40,"Pass","Fail")</f>
        <v>Pass</v>
      </c>
      <c r="AD70" t="str">
        <f>IF(OR(Table1[[#This Row],[Final Score]]&gt;=80,Table1[[#This Row],[Attendance %]]&gt;=90),"High Performer","normal")</f>
        <v>normal</v>
      </c>
      <c r="AE70" s="1" t="str">
        <f>IF(Table1[[#This Row],[Gender]]="Male","Boy","Girl")</f>
        <v>Boy</v>
      </c>
      <c r="AF70" s="1" t="str">
        <f>IF(Table1[[#This Row],[Final Score]]&gt;90,"Certificate","No Allow Certificate")</f>
        <v>No Allow Certificate</v>
      </c>
      <c r="AG70" s="1" t="str">
        <f>IF(Table1[[#This Row],[Extracurricular]]="Yes","Active","Not Active")</f>
        <v>Not Active</v>
      </c>
      <c r="AH70" s="1" t="str">
        <f>IF(Table1[[#This Row],[Parent Education]]="Graduate","Educated_Parent", "Other")</f>
        <v>Other</v>
      </c>
      <c r="AI70" s="1" t="str">
        <f>IF(Table1[[#This Row],[Assignments Avg]]&lt;70,"Need Practice","Ok")</f>
        <v>Need Practice</v>
      </c>
      <c r="AJ70" s="1" t="str">
        <f>Table1[[#This Row],[Frist_Name ]]&amp;" -"&amp;Table1[[#This Row],[Class]]</f>
        <v>Ritvik -10</v>
      </c>
      <c r="AK70" s="1" t="str">
        <f>RIGHT(Table1[[#This Row],[Full Name ]],LEN(Table1[[#This Row],[Full Name ]])-SEARCH(" ",Table1[[#This Row],[Full Name ]]))</f>
        <v>Sethi</v>
      </c>
      <c r="AL70" s="1" t="str">
        <f>LEFT(Table1[[#This Row],[Full Name ]],SEARCH(" ",Table1[[#This Row],[Full Name ]]))</f>
        <v xml:space="preserve">Ritvik </v>
      </c>
      <c r="AM70" s="1">
        <f>LEN(Table1[[#This Row],[Frist_Name ]])</f>
        <v>6</v>
      </c>
      <c r="AN70" s="1"/>
      <c r="AO70" s="1"/>
    </row>
    <row r="71" spans="1:46" x14ac:dyDescent="0.3">
      <c r="A71" s="1">
        <v>70</v>
      </c>
      <c r="B71" s="1" t="s">
        <v>152</v>
      </c>
      <c r="C71" s="1" t="s">
        <v>62</v>
      </c>
      <c r="D71" t="str">
        <f>_xlfn.CONCAT(Table1[[#This Row],[Frist_Name ]]," ",Table1[[#This Row],[Last_Name]])</f>
        <v>Saachi Kapoor</v>
      </c>
      <c r="E71" s="1">
        <v>15</v>
      </c>
      <c r="F71" s="1" t="s">
        <v>25</v>
      </c>
      <c r="G71" s="1">
        <v>10</v>
      </c>
      <c r="H71" s="1" t="s">
        <v>32</v>
      </c>
      <c r="I71" s="1">
        <v>92</v>
      </c>
      <c r="J71" s="1">
        <v>90</v>
      </c>
      <c r="K71" s="1">
        <v>87</v>
      </c>
      <c r="L71" s="1">
        <v>89</v>
      </c>
      <c r="M71" s="1">
        <v>91</v>
      </c>
      <c r="N71" s="1">
        <v>90</v>
      </c>
      <c r="O71" s="1">
        <v>21</v>
      </c>
      <c r="P71" s="1" t="s">
        <v>21</v>
      </c>
      <c r="Q71" s="1" t="s">
        <v>26</v>
      </c>
      <c r="R71" s="1" t="s">
        <v>27</v>
      </c>
      <c r="S71" s="1">
        <v>90</v>
      </c>
      <c r="T71" s="1" t="s">
        <v>28</v>
      </c>
      <c r="U71" s="1" t="s">
        <v>24</v>
      </c>
      <c r="W71">
        <f>(Table1[[#This Row],[Assignments Avg]]*0.1)+(Table1[[#This Row],[Midterm Score]]*0.3)+(Table1[[#This Row],[Final Exam Score]]*0.45)+(Table1[[#This Row],[Project Score]]*0.1)</f>
        <v>84.25</v>
      </c>
      <c r="X71" s="1" t="str">
        <f>IF(OR(Table1[[#This Row],[Attendance %]]&lt;57,Table1[[#This Row],[Final Score]]&lt;45),"At-Risk","Ok")</f>
        <v>Ok</v>
      </c>
      <c r="Y71" s="1" t="str">
        <f>IF(Table1[[#This Row],[Study Hours]]&lt;5,"Low Study","Normal")</f>
        <v>Normal</v>
      </c>
      <c r="Z71" s="1">
        <f>Table1[[#This Row],[Final Exam Score]]-Table1[[#This Row],[Midterm Score]]</f>
        <v>2</v>
      </c>
      <c r="AA71" s="1" t="str">
        <f>IF(Table1[[#This Row],[Final Score]]&gt;=80,"A",IF(Table1[[#This Row],[Final Score]]&gt;=70,"B",IF(Table1[[#This Row],[Final Score]]&gt;=60,"C",IF(Table1[[#This Row],[Final Score]]&gt;=50,"D","F"))))</f>
        <v>A</v>
      </c>
      <c r="AB71" s="1">
        <f>Table1[[#This Row],[Final Score]]+5</f>
        <v>95</v>
      </c>
      <c r="AC71" s="1" t="str">
        <f>IF(Table1[[#This Row],[Final Score]]&gt;=40,"Pass","Fail")</f>
        <v>Pass</v>
      </c>
      <c r="AD71" t="str">
        <f>IF(OR(Table1[[#This Row],[Final Score]]&gt;=80,Table1[[#This Row],[Attendance %]]&gt;=90),"High Performer","normal")</f>
        <v>High Performer</v>
      </c>
      <c r="AE71" s="1" t="str">
        <f>IF(Table1[[#This Row],[Gender]]="Male","Boy","Girl")</f>
        <v>Girl</v>
      </c>
      <c r="AF71" s="1" t="str">
        <f>IF(Table1[[#This Row],[Final Score]]&gt;90,"Certificate","No Allow Certificate")</f>
        <v>No Allow Certificate</v>
      </c>
      <c r="AG71" s="1" t="str">
        <f>IF(Table1[[#This Row],[Extracurricular]]="Yes","Active","Not Active")</f>
        <v>Active</v>
      </c>
      <c r="AH71" s="1" t="str">
        <f>IF(Table1[[#This Row],[Parent Education]]="Graduate","Educated_Parent", "Other")</f>
        <v>Other</v>
      </c>
      <c r="AI71" s="1" t="str">
        <f>IF(Table1[[#This Row],[Assignments Avg]]&lt;70,"Need Practice","Ok")</f>
        <v>Ok</v>
      </c>
      <c r="AJ71" s="1" t="str">
        <f>Table1[[#This Row],[Frist_Name ]]&amp;" -"&amp;Table1[[#This Row],[Class]]</f>
        <v>Saachi -10</v>
      </c>
      <c r="AK71" s="1" t="str">
        <f>RIGHT(Table1[[#This Row],[Full Name ]],LEN(Table1[[#This Row],[Full Name ]])-SEARCH(" ",Table1[[#This Row],[Full Name ]]))</f>
        <v>Kapoor</v>
      </c>
      <c r="AL71" s="1" t="str">
        <f>LEFT(Table1[[#This Row],[Full Name ]],SEARCH(" ",Table1[[#This Row],[Full Name ]]))</f>
        <v xml:space="preserve">Saachi </v>
      </c>
      <c r="AM71" s="1">
        <f>LEN(Table1[[#This Row],[Frist_Name ]])</f>
        <v>6</v>
      </c>
      <c r="AN71" s="1"/>
      <c r="AO71" s="1"/>
    </row>
    <row r="72" spans="1:46" x14ac:dyDescent="0.3">
      <c r="A72" s="1">
        <v>71</v>
      </c>
      <c r="B72" s="1" t="s">
        <v>153</v>
      </c>
      <c r="C72" s="1" t="s">
        <v>66</v>
      </c>
      <c r="D72" t="str">
        <f>_xlfn.CONCAT(Table1[[#This Row],[Frist_Name ]]," ",Table1[[#This Row],[Last_Name]])</f>
        <v>Adwait Kulkarni</v>
      </c>
      <c r="E72" s="1">
        <v>16</v>
      </c>
      <c r="F72" s="1" t="s">
        <v>19</v>
      </c>
      <c r="G72" s="1">
        <v>11</v>
      </c>
      <c r="H72" s="1" t="s">
        <v>34</v>
      </c>
      <c r="I72" s="1">
        <v>80</v>
      </c>
      <c r="J72" s="1">
        <v>74</v>
      </c>
      <c r="K72" s="1">
        <v>59</v>
      </c>
      <c r="L72" s="1">
        <v>64</v>
      </c>
      <c r="M72" s="1">
        <v>68</v>
      </c>
      <c r="N72" s="1">
        <v>70</v>
      </c>
      <c r="O72" s="1">
        <v>10</v>
      </c>
      <c r="P72" s="1" t="s">
        <v>30</v>
      </c>
      <c r="Q72" s="1" t="s">
        <v>22</v>
      </c>
      <c r="R72" s="1" t="s">
        <v>23</v>
      </c>
      <c r="S72" s="1">
        <v>64</v>
      </c>
      <c r="T72" s="1" t="s">
        <v>32</v>
      </c>
      <c r="U72" s="1" t="s">
        <v>24</v>
      </c>
      <c r="W72">
        <f>(Table1[[#This Row],[Assignments Avg]]*0.1)+(Table1[[#This Row],[Midterm Score]]*0.3)+(Table1[[#This Row],[Final Exam Score]]*0.45)+(Table1[[#This Row],[Project Score]]*0.1)</f>
        <v>60.7</v>
      </c>
      <c r="X72" s="1" t="str">
        <f>IF(OR(Table1[[#This Row],[Attendance %]]&lt;57,Table1[[#This Row],[Final Score]]&lt;45),"At-Risk","Ok")</f>
        <v>Ok</v>
      </c>
      <c r="Y72" s="1" t="str">
        <f>IF(Table1[[#This Row],[Study Hours]]&lt;5,"Low Study","Normal")</f>
        <v>Normal</v>
      </c>
      <c r="Z72" s="1">
        <f>Table1[[#This Row],[Final Exam Score]]-Table1[[#This Row],[Midterm Score]]</f>
        <v>5</v>
      </c>
      <c r="AA72" s="1" t="str">
        <f>IF(Table1[[#This Row],[Final Score]]&gt;=80,"A",IF(Table1[[#This Row],[Final Score]]&gt;=70,"B",IF(Table1[[#This Row],[Final Score]]&gt;=60,"C",IF(Table1[[#This Row],[Final Score]]&gt;=50,"D","F"))))</f>
        <v>C</v>
      </c>
      <c r="AB72" s="1">
        <f>Table1[[#This Row],[Final Score]]+5</f>
        <v>69</v>
      </c>
      <c r="AC72" s="1" t="str">
        <f>IF(Table1[[#This Row],[Final Score]]&gt;=40,"Pass","Fail")</f>
        <v>Pass</v>
      </c>
      <c r="AD72" t="str">
        <f>IF(OR(Table1[[#This Row],[Final Score]]&gt;=80,Table1[[#This Row],[Attendance %]]&gt;=90),"High Performer","normal")</f>
        <v>normal</v>
      </c>
      <c r="AE72" s="1" t="str">
        <f>IF(Table1[[#This Row],[Gender]]="Male","Boy","Girl")</f>
        <v>Boy</v>
      </c>
      <c r="AF72" s="1" t="str">
        <f>IF(Table1[[#This Row],[Final Score]]&gt;90,"Certificate","No Allow Certificate")</f>
        <v>No Allow Certificate</v>
      </c>
      <c r="AG72" s="1" t="str">
        <f>IF(Table1[[#This Row],[Extracurricular]]="Yes","Active","Not Active")</f>
        <v>Not Active</v>
      </c>
      <c r="AH72" s="1" t="str">
        <f>IF(Table1[[#This Row],[Parent Education]]="Graduate","Educated_Parent", "Other")</f>
        <v>Educated_Parent</v>
      </c>
      <c r="AI72" s="1" t="str">
        <f>IF(Table1[[#This Row],[Assignments Avg]]&lt;70,"Need Practice","Ok")</f>
        <v>Ok</v>
      </c>
      <c r="AJ72" s="1" t="str">
        <f>Table1[[#This Row],[Frist_Name ]]&amp;" -"&amp;Table1[[#This Row],[Class]]</f>
        <v>Adwait -11</v>
      </c>
      <c r="AK72" s="1" t="str">
        <f>RIGHT(Table1[[#This Row],[Full Name ]],LEN(Table1[[#This Row],[Full Name ]])-SEARCH(" ",Table1[[#This Row],[Full Name ]]))</f>
        <v>Kulkarni</v>
      </c>
      <c r="AL72" s="1" t="str">
        <f>LEFT(Table1[[#This Row],[Full Name ]],SEARCH(" ",Table1[[#This Row],[Full Name ]]))</f>
        <v xml:space="preserve">Adwait </v>
      </c>
      <c r="AM72" s="1">
        <f>LEN(Table1[[#This Row],[Frist_Name ]])</f>
        <v>6</v>
      </c>
      <c r="AN72" s="1"/>
      <c r="AO72" s="1"/>
    </row>
    <row r="73" spans="1:46" x14ac:dyDescent="0.3">
      <c r="A73" s="1">
        <v>72</v>
      </c>
      <c r="B73" s="1" t="s">
        <v>154</v>
      </c>
      <c r="C73" s="1" t="s">
        <v>68</v>
      </c>
      <c r="D73" t="str">
        <f>_xlfn.CONCAT(Table1[[#This Row],[Frist_Name ]]," ",Table1[[#This Row],[Last_Name]])</f>
        <v>Ira Choudhary</v>
      </c>
      <c r="E73" s="1">
        <v>15</v>
      </c>
      <c r="F73" s="1" t="s">
        <v>25</v>
      </c>
      <c r="G73" s="1">
        <v>10</v>
      </c>
      <c r="H73" s="1" t="s">
        <v>34</v>
      </c>
      <c r="I73" s="1">
        <v>85</v>
      </c>
      <c r="J73" s="1">
        <v>80</v>
      </c>
      <c r="K73" s="1">
        <v>71</v>
      </c>
      <c r="L73" s="1">
        <v>75</v>
      </c>
      <c r="M73" s="1">
        <v>78</v>
      </c>
      <c r="N73" s="1">
        <v>77</v>
      </c>
      <c r="O73" s="1">
        <v>14</v>
      </c>
      <c r="P73" s="1" t="s">
        <v>21</v>
      </c>
      <c r="Q73" s="1" t="s">
        <v>22</v>
      </c>
      <c r="R73" s="1" t="s">
        <v>23</v>
      </c>
      <c r="S73" s="1">
        <v>75</v>
      </c>
      <c r="T73" s="1" t="s">
        <v>29</v>
      </c>
      <c r="U73" s="1" t="s">
        <v>24</v>
      </c>
      <c r="W73">
        <f>(Table1[[#This Row],[Assignments Avg]]*0.1)+(Table1[[#This Row],[Midterm Score]]*0.3)+(Table1[[#This Row],[Final Exam Score]]*0.45)+(Table1[[#This Row],[Project Score]]*0.1)</f>
        <v>70.849999999999994</v>
      </c>
      <c r="X73" s="1" t="str">
        <f>IF(OR(Table1[[#This Row],[Attendance %]]&lt;57,Table1[[#This Row],[Final Score]]&lt;45),"At-Risk","Ok")</f>
        <v>Ok</v>
      </c>
      <c r="Y73" s="1" t="str">
        <f>IF(Table1[[#This Row],[Study Hours]]&lt;5,"Low Study","Normal")</f>
        <v>Normal</v>
      </c>
      <c r="Z73" s="1">
        <f>Table1[[#This Row],[Final Exam Score]]-Table1[[#This Row],[Midterm Score]]</f>
        <v>4</v>
      </c>
      <c r="AA73" s="1" t="str">
        <f>IF(Table1[[#This Row],[Final Score]]&gt;=80,"A",IF(Table1[[#This Row],[Final Score]]&gt;=70,"B",IF(Table1[[#This Row],[Final Score]]&gt;=60,"C",IF(Table1[[#This Row],[Final Score]]&gt;=50,"D","F"))))</f>
        <v>B</v>
      </c>
      <c r="AB73" s="1">
        <f>Table1[[#This Row],[Final Score]]+5</f>
        <v>80</v>
      </c>
      <c r="AC73" s="1" t="str">
        <f>IF(Table1[[#This Row],[Final Score]]&gt;=40,"Pass","Fail")</f>
        <v>Pass</v>
      </c>
      <c r="AD73" t="str">
        <f>IF(OR(Table1[[#This Row],[Final Score]]&gt;=80,Table1[[#This Row],[Attendance %]]&gt;=90),"High Performer","normal")</f>
        <v>normal</v>
      </c>
      <c r="AE73" s="1" t="str">
        <f>IF(Table1[[#This Row],[Gender]]="Male","Boy","Girl")</f>
        <v>Girl</v>
      </c>
      <c r="AF73" s="1" t="str">
        <f>IF(Table1[[#This Row],[Final Score]]&gt;90,"Certificate","No Allow Certificate")</f>
        <v>No Allow Certificate</v>
      </c>
      <c r="AG73" s="1" t="str">
        <f>IF(Table1[[#This Row],[Extracurricular]]="Yes","Active","Not Active")</f>
        <v>Active</v>
      </c>
      <c r="AH73" s="1" t="str">
        <f>IF(Table1[[#This Row],[Parent Education]]="Graduate","Educated_Parent", "Other")</f>
        <v>Educated_Parent</v>
      </c>
      <c r="AI73" s="1" t="str">
        <f>IF(Table1[[#This Row],[Assignments Avg]]&lt;70,"Need Practice","Ok")</f>
        <v>Ok</v>
      </c>
      <c r="AJ73" s="1" t="str">
        <f>Table1[[#This Row],[Frist_Name ]]&amp;" -"&amp;Table1[[#This Row],[Class]]</f>
        <v>Ira -10</v>
      </c>
      <c r="AK73" s="1" t="str">
        <f>RIGHT(Table1[[#This Row],[Full Name ]],LEN(Table1[[#This Row],[Full Name ]])-SEARCH(" ",Table1[[#This Row],[Full Name ]]))</f>
        <v>Choudhary</v>
      </c>
      <c r="AL73" s="1" t="str">
        <f>LEFT(Table1[[#This Row],[Full Name ]],SEARCH(" ",Table1[[#This Row],[Full Name ]]))</f>
        <v xml:space="preserve">Ira </v>
      </c>
      <c r="AM73" s="1">
        <f>LEN(Table1[[#This Row],[Frist_Name ]])</f>
        <v>3</v>
      </c>
      <c r="AN73" s="1"/>
      <c r="AO73" s="1"/>
    </row>
    <row r="74" spans="1:46" x14ac:dyDescent="0.3">
      <c r="A74" s="1">
        <v>73</v>
      </c>
      <c r="B74" s="1" t="s">
        <v>155</v>
      </c>
      <c r="C74" s="1" t="s">
        <v>156</v>
      </c>
      <c r="D74" t="str">
        <f>_xlfn.CONCAT(Table1[[#This Row],[Frist_Name ]]," ",Table1[[#This Row],[Last_Name]])</f>
        <v>Krishiv Mehra</v>
      </c>
      <c r="E74" s="1">
        <v>16</v>
      </c>
      <c r="F74" s="1" t="s">
        <v>19</v>
      </c>
      <c r="G74" s="1">
        <v>12</v>
      </c>
      <c r="H74" s="1" t="s">
        <v>20</v>
      </c>
      <c r="I74" s="1">
        <v>63</v>
      </c>
      <c r="J74" s="1">
        <v>57</v>
      </c>
      <c r="K74" s="1">
        <v>42</v>
      </c>
      <c r="L74" s="1">
        <v>39</v>
      </c>
      <c r="M74" s="1">
        <v>47</v>
      </c>
      <c r="N74" s="1">
        <v>45</v>
      </c>
      <c r="O74" s="1">
        <v>5</v>
      </c>
      <c r="P74" s="1" t="s">
        <v>30</v>
      </c>
      <c r="Q74" s="1" t="s">
        <v>31</v>
      </c>
      <c r="R74" s="1" t="s">
        <v>33</v>
      </c>
      <c r="S74" s="1">
        <v>41</v>
      </c>
      <c r="T74" s="1" t="s">
        <v>34</v>
      </c>
      <c r="U74" s="1" t="s">
        <v>35</v>
      </c>
      <c r="W74">
        <f>(Table1[[#This Row],[Assignments Avg]]*0.1)+(Table1[[#This Row],[Midterm Score]]*0.3)+(Table1[[#This Row],[Final Exam Score]]*0.45)+(Table1[[#This Row],[Project Score]]*0.1)</f>
        <v>40.550000000000004</v>
      </c>
      <c r="X74" s="1" t="str">
        <f>IF(OR(Table1[[#This Row],[Attendance %]]&lt;57,Table1[[#This Row],[Final Score]]&lt;45),"At-Risk","Ok")</f>
        <v>At-Risk</v>
      </c>
      <c r="Y74" s="1" t="str">
        <f>IF(Table1[[#This Row],[Study Hours]]&lt;5,"Low Study","Normal")</f>
        <v>Normal</v>
      </c>
      <c r="Z74" s="1">
        <f>Table1[[#This Row],[Final Exam Score]]-Table1[[#This Row],[Midterm Score]]</f>
        <v>-3</v>
      </c>
      <c r="AA74" s="1" t="str">
        <f>IF(Table1[[#This Row],[Final Score]]&gt;=80,"A",IF(Table1[[#This Row],[Final Score]]&gt;=70,"B",IF(Table1[[#This Row],[Final Score]]&gt;=60,"C",IF(Table1[[#This Row],[Final Score]]&gt;=50,"D","F"))))</f>
        <v>F</v>
      </c>
      <c r="AB74" s="1">
        <f>Table1[[#This Row],[Final Score]]+5</f>
        <v>46</v>
      </c>
      <c r="AC74" s="1" t="str">
        <f>IF(Table1[[#This Row],[Final Score]]&gt;=40,"Pass","Fail")</f>
        <v>Pass</v>
      </c>
      <c r="AD74" t="str">
        <f>IF(OR(Table1[[#This Row],[Final Score]]&gt;=80,Table1[[#This Row],[Attendance %]]&gt;=90),"High Performer","normal")</f>
        <v>normal</v>
      </c>
      <c r="AE74" s="1" t="str">
        <f>IF(Table1[[#This Row],[Gender]]="Male","Boy","Girl")</f>
        <v>Boy</v>
      </c>
      <c r="AF74" s="1" t="str">
        <f>IF(Table1[[#This Row],[Final Score]]&gt;90,"Certificate","No Allow Certificate")</f>
        <v>No Allow Certificate</v>
      </c>
      <c r="AG74" s="1" t="str">
        <f>IF(Table1[[#This Row],[Extracurricular]]="Yes","Active","Not Active")</f>
        <v>Not Active</v>
      </c>
      <c r="AH74" s="1" t="str">
        <f>IF(Table1[[#This Row],[Parent Education]]="Graduate","Educated_Parent", "Other")</f>
        <v>Other</v>
      </c>
      <c r="AI74" s="1" t="str">
        <f>IF(Table1[[#This Row],[Assignments Avg]]&lt;70,"Need Practice","Ok")</f>
        <v>Need Practice</v>
      </c>
      <c r="AJ74" s="1" t="str">
        <f>Table1[[#This Row],[Frist_Name ]]&amp;" -"&amp;Table1[[#This Row],[Class]]</f>
        <v>Krishiv -12</v>
      </c>
      <c r="AK74" s="1" t="str">
        <f>RIGHT(Table1[[#This Row],[Full Name ]],LEN(Table1[[#This Row],[Full Name ]])-SEARCH(" ",Table1[[#This Row],[Full Name ]]))</f>
        <v>Mehra</v>
      </c>
      <c r="AL74" s="1" t="str">
        <f>LEFT(Table1[[#This Row],[Full Name ]],SEARCH(" ",Table1[[#This Row],[Full Name ]]))</f>
        <v xml:space="preserve">Krishiv </v>
      </c>
      <c r="AM74" s="1">
        <f>LEN(Table1[[#This Row],[Frist_Name ]])</f>
        <v>7</v>
      </c>
      <c r="AN74" s="1"/>
      <c r="AO74" s="1"/>
    </row>
    <row r="75" spans="1:46" x14ac:dyDescent="0.3">
      <c r="A75" s="1">
        <v>74</v>
      </c>
      <c r="B75" s="1" t="s">
        <v>157</v>
      </c>
      <c r="C75" s="1" t="s">
        <v>103</v>
      </c>
      <c r="D75" t="str">
        <f>_xlfn.CONCAT(Table1[[#This Row],[Frist_Name ]]," ",Table1[[#This Row],[Last_Name]])</f>
        <v>Reva Sinha</v>
      </c>
      <c r="E75" s="1">
        <v>15</v>
      </c>
      <c r="F75" s="1" t="s">
        <v>25</v>
      </c>
      <c r="G75" s="1">
        <v>10</v>
      </c>
      <c r="H75" s="1" t="s">
        <v>20</v>
      </c>
      <c r="I75" s="1">
        <v>99</v>
      </c>
      <c r="J75" s="1">
        <v>97</v>
      </c>
      <c r="K75" s="1">
        <v>96</v>
      </c>
      <c r="L75" s="1">
        <v>98</v>
      </c>
      <c r="M75" s="1">
        <v>95</v>
      </c>
      <c r="N75" s="1">
        <v>97</v>
      </c>
      <c r="O75" s="1">
        <v>27</v>
      </c>
      <c r="P75" s="1" t="s">
        <v>21</v>
      </c>
      <c r="Q75" s="1" t="s">
        <v>26</v>
      </c>
      <c r="R75" s="1" t="s">
        <v>27</v>
      </c>
      <c r="S75" s="1">
        <v>97</v>
      </c>
      <c r="T75" s="1" t="s">
        <v>28</v>
      </c>
      <c r="U75" s="1" t="s">
        <v>24</v>
      </c>
      <c r="W75">
        <f>(Table1[[#This Row],[Assignments Avg]]*0.1)+(Table1[[#This Row],[Midterm Score]]*0.3)+(Table1[[#This Row],[Final Exam Score]]*0.45)+(Table1[[#This Row],[Project Score]]*0.1)</f>
        <v>92.1</v>
      </c>
      <c r="X75" s="1" t="str">
        <f>IF(OR(Table1[[#This Row],[Attendance %]]&lt;57,Table1[[#This Row],[Final Score]]&lt;45),"At-Risk","Ok")</f>
        <v>Ok</v>
      </c>
      <c r="Y75" s="1" t="str">
        <f>IF(Table1[[#This Row],[Study Hours]]&lt;5,"Low Study","Normal")</f>
        <v>Normal</v>
      </c>
      <c r="Z75" s="1">
        <f>Table1[[#This Row],[Final Exam Score]]-Table1[[#This Row],[Midterm Score]]</f>
        <v>2</v>
      </c>
      <c r="AA75" s="1" t="str">
        <f>IF(Table1[[#This Row],[Final Score]]&gt;=80,"A",IF(Table1[[#This Row],[Final Score]]&gt;=70,"B",IF(Table1[[#This Row],[Final Score]]&gt;=60,"C",IF(Table1[[#This Row],[Final Score]]&gt;=50,"D","F"))))</f>
        <v>A</v>
      </c>
      <c r="AB75" s="1">
        <f>Table1[[#This Row],[Final Score]]+5</f>
        <v>102</v>
      </c>
      <c r="AC75" s="1" t="str">
        <f>IF(Table1[[#This Row],[Final Score]]&gt;=40,"Pass","Fail")</f>
        <v>Pass</v>
      </c>
      <c r="AD75" t="str">
        <f>IF(OR(Table1[[#This Row],[Final Score]]&gt;=80,Table1[[#This Row],[Attendance %]]&gt;=90),"High Performer","normal")</f>
        <v>High Performer</v>
      </c>
      <c r="AE75" s="1" t="str">
        <f>IF(Table1[[#This Row],[Gender]]="Male","Boy","Girl")</f>
        <v>Girl</v>
      </c>
      <c r="AF75" s="1" t="str">
        <f>IF(Table1[[#This Row],[Final Score]]&gt;90,"Certificate","No Allow Certificate")</f>
        <v>Certificate</v>
      </c>
      <c r="AG75" s="1" t="str">
        <f>IF(Table1[[#This Row],[Extracurricular]]="Yes","Active","Not Active")</f>
        <v>Active</v>
      </c>
      <c r="AH75" s="1" t="str">
        <f>IF(Table1[[#This Row],[Parent Education]]="Graduate","Educated_Parent", "Other")</f>
        <v>Other</v>
      </c>
      <c r="AI75" s="1" t="str">
        <f>IF(Table1[[#This Row],[Assignments Avg]]&lt;70,"Need Practice","Ok")</f>
        <v>Ok</v>
      </c>
      <c r="AJ75" s="1" t="str">
        <f>Table1[[#This Row],[Frist_Name ]]&amp;" -"&amp;Table1[[#This Row],[Class]]</f>
        <v>Reva -10</v>
      </c>
      <c r="AK75" s="1" t="str">
        <f>RIGHT(Table1[[#This Row],[Full Name ]],LEN(Table1[[#This Row],[Full Name ]])-SEARCH(" ",Table1[[#This Row],[Full Name ]]))</f>
        <v>Sinha</v>
      </c>
      <c r="AL75" s="1" t="str">
        <f>LEFT(Table1[[#This Row],[Full Name ]],SEARCH(" ",Table1[[#This Row],[Full Name ]]))</f>
        <v xml:space="preserve">Reva </v>
      </c>
      <c r="AM75" s="1">
        <f>LEN(Table1[[#This Row],[Frist_Name ]])</f>
        <v>4</v>
      </c>
      <c r="AN75" s="1"/>
      <c r="AO75" s="1"/>
    </row>
    <row r="76" spans="1:46" x14ac:dyDescent="0.3">
      <c r="A76" s="1">
        <v>75</v>
      </c>
      <c r="B76" s="1" t="s">
        <v>158</v>
      </c>
      <c r="C76" s="1" t="s">
        <v>54</v>
      </c>
      <c r="D76" t="str">
        <f>_xlfn.CONCAT(Table1[[#This Row],[Frist_Name ]]," ",Table1[[#This Row],[Last_Name]])</f>
        <v>Manan Joshi</v>
      </c>
      <c r="E76" s="1">
        <v>16</v>
      </c>
      <c r="F76" s="1" t="s">
        <v>19</v>
      </c>
      <c r="G76" s="1">
        <v>10</v>
      </c>
      <c r="H76" s="1" t="s">
        <v>29</v>
      </c>
      <c r="I76" s="1">
        <v>86</v>
      </c>
      <c r="J76" s="1">
        <v>79</v>
      </c>
      <c r="K76" s="1">
        <v>68</v>
      </c>
      <c r="L76" s="1">
        <v>72</v>
      </c>
      <c r="M76" s="1">
        <v>74</v>
      </c>
      <c r="N76" s="1">
        <v>76</v>
      </c>
      <c r="O76" s="1">
        <v>13</v>
      </c>
      <c r="P76" s="1" t="s">
        <v>21</v>
      </c>
      <c r="Q76" s="1" t="s">
        <v>22</v>
      </c>
      <c r="R76" s="1" t="s">
        <v>23</v>
      </c>
      <c r="S76" s="1">
        <v>72</v>
      </c>
      <c r="T76" s="1" t="s">
        <v>29</v>
      </c>
      <c r="U76" s="1" t="s">
        <v>24</v>
      </c>
      <c r="W76">
        <f>(Table1[[#This Row],[Assignments Avg]]*0.1)+(Table1[[#This Row],[Midterm Score]]*0.3)+(Table1[[#This Row],[Final Exam Score]]*0.45)+(Table1[[#This Row],[Project Score]]*0.1)</f>
        <v>68.099999999999994</v>
      </c>
      <c r="X76" s="1" t="str">
        <f>IF(OR(Table1[[#This Row],[Attendance %]]&lt;57,Table1[[#This Row],[Final Score]]&lt;45),"At-Risk","Ok")</f>
        <v>Ok</v>
      </c>
      <c r="Y76" s="1" t="str">
        <f>IF(Table1[[#This Row],[Study Hours]]&lt;5,"Low Study","Normal")</f>
        <v>Normal</v>
      </c>
      <c r="Z76" s="1">
        <f>Table1[[#This Row],[Final Exam Score]]-Table1[[#This Row],[Midterm Score]]</f>
        <v>4</v>
      </c>
      <c r="AA76" s="1" t="str">
        <f>IF(Table1[[#This Row],[Final Score]]&gt;=80,"A",IF(Table1[[#This Row],[Final Score]]&gt;=70,"B",IF(Table1[[#This Row],[Final Score]]&gt;=60,"C",IF(Table1[[#This Row],[Final Score]]&gt;=50,"D","F"))))</f>
        <v>B</v>
      </c>
      <c r="AB76" s="1">
        <f>Table1[[#This Row],[Final Score]]+5</f>
        <v>77</v>
      </c>
      <c r="AC76" s="1" t="str">
        <f>IF(Table1[[#This Row],[Final Score]]&gt;=40,"Pass","Fail")</f>
        <v>Pass</v>
      </c>
      <c r="AD76" t="str">
        <f>IF(OR(Table1[[#This Row],[Final Score]]&gt;=80,Table1[[#This Row],[Attendance %]]&gt;=90),"High Performer","normal")</f>
        <v>normal</v>
      </c>
      <c r="AE76" s="1" t="str">
        <f>IF(Table1[[#This Row],[Gender]]="Male","Boy","Girl")</f>
        <v>Boy</v>
      </c>
      <c r="AF76" s="1" t="str">
        <f>IF(Table1[[#This Row],[Final Score]]&gt;90,"Certificate","No Allow Certificate")</f>
        <v>No Allow Certificate</v>
      </c>
      <c r="AG76" s="1" t="str">
        <f>IF(Table1[[#This Row],[Extracurricular]]="Yes","Active","Not Active")</f>
        <v>Active</v>
      </c>
      <c r="AH76" s="1" t="str">
        <f>IF(Table1[[#This Row],[Parent Education]]="Graduate","Educated_Parent", "Other")</f>
        <v>Educated_Parent</v>
      </c>
      <c r="AI76" s="1" t="str">
        <f>IF(Table1[[#This Row],[Assignments Avg]]&lt;70,"Need Practice","Ok")</f>
        <v>Ok</v>
      </c>
      <c r="AJ76" s="1" t="str">
        <f>Table1[[#This Row],[Frist_Name ]]&amp;" -"&amp;Table1[[#This Row],[Class]]</f>
        <v>Manan -10</v>
      </c>
      <c r="AK76" s="1" t="str">
        <f>RIGHT(Table1[[#This Row],[Full Name ]],LEN(Table1[[#This Row],[Full Name ]])-SEARCH(" ",Table1[[#This Row],[Full Name ]]))</f>
        <v>Joshi</v>
      </c>
      <c r="AL76" s="1" t="str">
        <f>LEFT(Table1[[#This Row],[Full Name ]],SEARCH(" ",Table1[[#This Row],[Full Name ]]))</f>
        <v xml:space="preserve">Manan </v>
      </c>
      <c r="AM76" s="1">
        <f>LEN(Table1[[#This Row],[Frist_Name ]])</f>
        <v>5</v>
      </c>
      <c r="AN76" s="1"/>
      <c r="AO76" s="1"/>
    </row>
    <row r="77" spans="1:46" x14ac:dyDescent="0.3">
      <c r="A77" s="1">
        <v>76</v>
      </c>
      <c r="B77" s="1" t="s">
        <v>159</v>
      </c>
      <c r="C77" s="1" t="s">
        <v>94</v>
      </c>
      <c r="D77" t="str">
        <f>_xlfn.CONCAT(Table1[[#This Row],[Frist_Name ]]," ",Table1[[#This Row],[Last_Name]])</f>
        <v>Nandini Patil</v>
      </c>
      <c r="E77" s="1">
        <v>15</v>
      </c>
      <c r="F77" s="1" t="s">
        <v>25</v>
      </c>
      <c r="G77" s="1">
        <v>10</v>
      </c>
      <c r="H77" s="1" t="s">
        <v>29</v>
      </c>
      <c r="I77" s="1">
        <v>81</v>
      </c>
      <c r="J77" s="1">
        <v>76</v>
      </c>
      <c r="K77" s="1">
        <v>62</v>
      </c>
      <c r="L77" s="1">
        <v>67</v>
      </c>
      <c r="M77" s="1">
        <v>71</v>
      </c>
      <c r="N77" s="1">
        <v>73</v>
      </c>
      <c r="O77" s="1">
        <v>12</v>
      </c>
      <c r="P77" s="1" t="s">
        <v>30</v>
      </c>
      <c r="Q77" s="1" t="s">
        <v>22</v>
      </c>
      <c r="R77" s="1" t="s">
        <v>23</v>
      </c>
      <c r="S77" s="1">
        <v>67</v>
      </c>
      <c r="T77" s="1" t="s">
        <v>32</v>
      </c>
      <c r="U77" s="1" t="s">
        <v>24</v>
      </c>
      <c r="W77">
        <f>(Table1[[#This Row],[Assignments Avg]]*0.1)+(Table1[[#This Row],[Midterm Score]]*0.3)+(Table1[[#This Row],[Final Exam Score]]*0.45)+(Table1[[#This Row],[Project Score]]*0.1)</f>
        <v>63.45</v>
      </c>
      <c r="X77" s="1" t="str">
        <f>IF(OR(Table1[[#This Row],[Attendance %]]&lt;57,Table1[[#This Row],[Final Score]]&lt;45),"At-Risk","Ok")</f>
        <v>Ok</v>
      </c>
      <c r="Y77" s="1" t="str">
        <f>IF(Table1[[#This Row],[Study Hours]]&lt;5,"Low Study","Normal")</f>
        <v>Normal</v>
      </c>
      <c r="Z77" s="1">
        <f>Table1[[#This Row],[Final Exam Score]]-Table1[[#This Row],[Midterm Score]]</f>
        <v>5</v>
      </c>
      <c r="AA77" s="1" t="str">
        <f>IF(Table1[[#This Row],[Final Score]]&gt;=80,"A",IF(Table1[[#This Row],[Final Score]]&gt;=70,"B",IF(Table1[[#This Row],[Final Score]]&gt;=60,"C",IF(Table1[[#This Row],[Final Score]]&gt;=50,"D","F"))))</f>
        <v>C</v>
      </c>
      <c r="AB77" s="1">
        <f>Table1[[#This Row],[Final Score]]+5</f>
        <v>72</v>
      </c>
      <c r="AC77" s="1" t="str">
        <f>IF(Table1[[#This Row],[Final Score]]&gt;=40,"Pass","Fail")</f>
        <v>Pass</v>
      </c>
      <c r="AD77" t="str">
        <f>IF(OR(Table1[[#This Row],[Final Score]]&gt;=80,Table1[[#This Row],[Attendance %]]&gt;=90),"High Performer","normal")</f>
        <v>normal</v>
      </c>
      <c r="AE77" s="1" t="str">
        <f>IF(Table1[[#This Row],[Gender]]="Male","Boy","Girl")</f>
        <v>Girl</v>
      </c>
      <c r="AF77" s="1" t="str">
        <f>IF(Table1[[#This Row],[Final Score]]&gt;90,"Certificate","No Allow Certificate")</f>
        <v>No Allow Certificate</v>
      </c>
      <c r="AG77" s="1" t="str">
        <f>IF(Table1[[#This Row],[Extracurricular]]="Yes","Active","Not Active")</f>
        <v>Not Active</v>
      </c>
      <c r="AH77" s="1" t="str">
        <f>IF(Table1[[#This Row],[Parent Education]]="Graduate","Educated_Parent", "Other")</f>
        <v>Educated_Parent</v>
      </c>
      <c r="AI77" s="1" t="str">
        <f>IF(Table1[[#This Row],[Assignments Avg]]&lt;70,"Need Practice","Ok")</f>
        <v>Ok</v>
      </c>
      <c r="AJ77" s="1" t="str">
        <f>Table1[[#This Row],[Frist_Name ]]&amp;" -"&amp;Table1[[#This Row],[Class]]</f>
        <v>Nandini -10</v>
      </c>
      <c r="AK77" s="1" t="str">
        <f>RIGHT(Table1[[#This Row],[Full Name ]],LEN(Table1[[#This Row],[Full Name ]])-SEARCH(" ",Table1[[#This Row],[Full Name ]]))</f>
        <v>Patil</v>
      </c>
      <c r="AL77" s="1" t="str">
        <f>LEFT(Table1[[#This Row],[Full Name ]],SEARCH(" ",Table1[[#This Row],[Full Name ]]))</f>
        <v xml:space="preserve">Nandini </v>
      </c>
      <c r="AM77" s="1">
        <f>LEN(Table1[[#This Row],[Frist_Name ]])</f>
        <v>7</v>
      </c>
      <c r="AN77" s="1"/>
      <c r="AO77" s="1"/>
      <c r="AP77" s="5" t="s">
        <v>212</v>
      </c>
      <c r="AQ77" s="5"/>
      <c r="AR77" s="5"/>
      <c r="AS77" s="5"/>
      <c r="AT77" s="5"/>
    </row>
    <row r="78" spans="1:46" x14ac:dyDescent="0.3">
      <c r="A78" s="1">
        <v>77</v>
      </c>
      <c r="B78" s="1" t="s">
        <v>160</v>
      </c>
      <c r="C78" s="1" t="s">
        <v>58</v>
      </c>
      <c r="D78" t="str">
        <f>_xlfn.CONCAT(Table1[[#This Row],[Frist_Name ]]," ",Table1[[#This Row],[Last_Name]])</f>
        <v>Armaan Desai</v>
      </c>
      <c r="E78" s="1">
        <v>16</v>
      </c>
      <c r="F78" s="1" t="s">
        <v>19</v>
      </c>
      <c r="G78" s="1">
        <v>10</v>
      </c>
      <c r="H78" s="1" t="s">
        <v>32</v>
      </c>
      <c r="I78" s="1">
        <v>56</v>
      </c>
      <c r="J78" s="1">
        <v>50</v>
      </c>
      <c r="K78" s="1">
        <v>34</v>
      </c>
      <c r="L78" s="1">
        <v>29</v>
      </c>
      <c r="M78" s="1">
        <v>40</v>
      </c>
      <c r="N78" s="1">
        <v>38</v>
      </c>
      <c r="O78" s="1">
        <v>3</v>
      </c>
      <c r="P78" s="1" t="s">
        <v>30</v>
      </c>
      <c r="Q78" s="1" t="s">
        <v>31</v>
      </c>
      <c r="R78" s="1" t="s">
        <v>33</v>
      </c>
      <c r="S78" s="1">
        <v>34</v>
      </c>
      <c r="T78" s="1" t="s">
        <v>36</v>
      </c>
      <c r="U78" s="1" t="s">
        <v>35</v>
      </c>
      <c r="W78">
        <f>(Table1[[#This Row],[Assignments Avg]]*0.1)+(Table1[[#This Row],[Midterm Score]]*0.3)+(Table1[[#This Row],[Final Exam Score]]*0.45)+(Table1[[#This Row],[Project Score]]*0.1)</f>
        <v>32.25</v>
      </c>
      <c r="X78" s="1" t="str">
        <f>IF(OR(Table1[[#This Row],[Attendance %]]&lt;57,Table1[[#This Row],[Final Score]]&lt;45),"At-Risk","Ok")</f>
        <v>At-Risk</v>
      </c>
      <c r="Y78" s="1" t="str">
        <f>IF(Table1[[#This Row],[Study Hours]]&lt;5,"Low Study","Normal")</f>
        <v>Low Study</v>
      </c>
      <c r="Z78" s="1">
        <f>Table1[[#This Row],[Final Exam Score]]-Table1[[#This Row],[Midterm Score]]</f>
        <v>-5</v>
      </c>
      <c r="AA78" s="1" t="str">
        <f>IF(Table1[[#This Row],[Final Score]]&gt;=80,"A",IF(Table1[[#This Row],[Final Score]]&gt;=70,"B",IF(Table1[[#This Row],[Final Score]]&gt;=60,"C",IF(Table1[[#This Row],[Final Score]]&gt;=50,"D","F"))))</f>
        <v>F</v>
      </c>
      <c r="AB78" s="1">
        <f>Table1[[#This Row],[Final Score]]+5</f>
        <v>39</v>
      </c>
      <c r="AC78" s="1" t="str">
        <f>IF(Table1[[#This Row],[Final Score]]&gt;=40,"Pass","Fail")</f>
        <v>Fail</v>
      </c>
      <c r="AD78" t="str">
        <f>IF(OR(Table1[[#This Row],[Final Score]]&gt;=80,Table1[[#This Row],[Attendance %]]&gt;=90),"High Performer","normal")</f>
        <v>normal</v>
      </c>
      <c r="AE78" s="1" t="str">
        <f>IF(Table1[[#This Row],[Gender]]="Male","Boy","Girl")</f>
        <v>Boy</v>
      </c>
      <c r="AF78" s="1" t="str">
        <f>IF(Table1[[#This Row],[Final Score]]&gt;90,"Certificate","No Allow Certificate")</f>
        <v>No Allow Certificate</v>
      </c>
      <c r="AG78" s="1" t="str">
        <f>IF(Table1[[#This Row],[Extracurricular]]="Yes","Active","Not Active")</f>
        <v>Not Active</v>
      </c>
      <c r="AH78" s="1" t="str">
        <f>IF(Table1[[#This Row],[Parent Education]]="Graduate","Educated_Parent", "Other")</f>
        <v>Other</v>
      </c>
      <c r="AI78" s="1" t="str">
        <f>IF(Table1[[#This Row],[Assignments Avg]]&lt;70,"Need Practice","Ok")</f>
        <v>Need Practice</v>
      </c>
      <c r="AJ78" s="1" t="str">
        <f>Table1[[#This Row],[Frist_Name ]]&amp;" -"&amp;Table1[[#This Row],[Class]]</f>
        <v>Armaan -10</v>
      </c>
      <c r="AK78" s="1" t="str">
        <f>RIGHT(Table1[[#This Row],[Full Name ]],LEN(Table1[[#This Row],[Full Name ]])-SEARCH(" ",Table1[[#This Row],[Full Name ]]))</f>
        <v>Desai</v>
      </c>
      <c r="AL78" s="1" t="str">
        <f>LEFT(Table1[[#This Row],[Full Name ]],SEARCH(" ",Table1[[#This Row],[Full Name ]]))</f>
        <v xml:space="preserve">Armaan </v>
      </c>
      <c r="AM78" s="1">
        <f>LEN(Table1[[#This Row],[Frist_Name ]])</f>
        <v>6</v>
      </c>
      <c r="AN78" s="1"/>
      <c r="AO78" s="1"/>
    </row>
    <row r="79" spans="1:46" x14ac:dyDescent="0.3">
      <c r="A79" s="1">
        <v>78</v>
      </c>
      <c r="B79" s="1" t="s">
        <v>161</v>
      </c>
      <c r="C79" s="1" t="s">
        <v>56</v>
      </c>
      <c r="D79" t="str">
        <f>_xlfn.CONCAT(Table1[[#This Row],[Frist_Name ]]," ",Table1[[#This Row],[Last_Name]])</f>
        <v>Aaradhya Nair</v>
      </c>
      <c r="E79" s="1">
        <v>15</v>
      </c>
      <c r="F79" s="1" t="s">
        <v>25</v>
      </c>
      <c r="G79" s="1">
        <v>11</v>
      </c>
      <c r="H79" s="1" t="s">
        <v>32</v>
      </c>
      <c r="I79" s="1">
        <v>95</v>
      </c>
      <c r="J79" s="1">
        <v>92</v>
      </c>
      <c r="K79" s="1">
        <v>90</v>
      </c>
      <c r="L79" s="1">
        <v>93</v>
      </c>
      <c r="M79" s="1">
        <v>94</v>
      </c>
      <c r="N79" s="1">
        <v>95</v>
      </c>
      <c r="O79" s="1">
        <v>24</v>
      </c>
      <c r="P79" s="1" t="s">
        <v>21</v>
      </c>
      <c r="Q79" s="1" t="s">
        <v>26</v>
      </c>
      <c r="R79" s="1" t="s">
        <v>27</v>
      </c>
      <c r="S79" s="1">
        <v>93</v>
      </c>
      <c r="T79" s="1" t="s">
        <v>28</v>
      </c>
      <c r="U79" s="1" t="s">
        <v>24</v>
      </c>
      <c r="W79">
        <f>(Table1[[#This Row],[Assignments Avg]]*0.1)+(Table1[[#This Row],[Midterm Score]]*0.3)+(Table1[[#This Row],[Final Exam Score]]*0.45)+(Table1[[#This Row],[Project Score]]*0.1)</f>
        <v>87.450000000000017</v>
      </c>
      <c r="X79" s="1" t="str">
        <f>IF(OR(Table1[[#This Row],[Attendance %]]&lt;57,Table1[[#This Row],[Final Score]]&lt;45),"At-Risk","Ok")</f>
        <v>Ok</v>
      </c>
      <c r="Y79" s="1" t="str">
        <f>IF(Table1[[#This Row],[Study Hours]]&lt;5,"Low Study","Normal")</f>
        <v>Normal</v>
      </c>
      <c r="Z79" s="1">
        <f>Table1[[#This Row],[Final Exam Score]]-Table1[[#This Row],[Midterm Score]]</f>
        <v>3</v>
      </c>
      <c r="AA79" s="1" t="str">
        <f>IF(Table1[[#This Row],[Final Score]]&gt;=80,"A",IF(Table1[[#This Row],[Final Score]]&gt;=70,"B",IF(Table1[[#This Row],[Final Score]]&gt;=60,"C",IF(Table1[[#This Row],[Final Score]]&gt;=50,"D","F"))))</f>
        <v>A</v>
      </c>
      <c r="AB79" s="1">
        <f>Table1[[#This Row],[Final Score]]+5</f>
        <v>98</v>
      </c>
      <c r="AC79" s="1" t="str">
        <f>IF(Table1[[#This Row],[Final Score]]&gt;=40,"Pass","Fail")</f>
        <v>Pass</v>
      </c>
      <c r="AD79" t="str">
        <f>IF(OR(Table1[[#This Row],[Final Score]]&gt;=80,Table1[[#This Row],[Attendance %]]&gt;=90),"High Performer","normal")</f>
        <v>High Performer</v>
      </c>
      <c r="AE79" s="1" t="str">
        <f>IF(Table1[[#This Row],[Gender]]="Male","Boy","Girl")</f>
        <v>Girl</v>
      </c>
      <c r="AF79" s="1" t="str">
        <f>IF(Table1[[#This Row],[Final Score]]&gt;90,"Certificate","No Allow Certificate")</f>
        <v>Certificate</v>
      </c>
      <c r="AG79" s="1" t="str">
        <f>IF(Table1[[#This Row],[Extracurricular]]="Yes","Active","Not Active")</f>
        <v>Active</v>
      </c>
      <c r="AH79" s="1" t="str">
        <f>IF(Table1[[#This Row],[Parent Education]]="Graduate","Educated_Parent", "Other")</f>
        <v>Other</v>
      </c>
      <c r="AI79" s="1" t="str">
        <f>IF(Table1[[#This Row],[Assignments Avg]]&lt;70,"Need Practice","Ok")</f>
        <v>Ok</v>
      </c>
      <c r="AJ79" s="1" t="str">
        <f>Table1[[#This Row],[Frist_Name ]]&amp;" -"&amp;Table1[[#This Row],[Class]]</f>
        <v>Aaradhya -11</v>
      </c>
      <c r="AK79" s="1" t="str">
        <f>RIGHT(Table1[[#This Row],[Full Name ]],LEN(Table1[[#This Row],[Full Name ]])-SEARCH(" ",Table1[[#This Row],[Full Name ]]))</f>
        <v>Nair</v>
      </c>
      <c r="AL79" s="1" t="str">
        <f>LEFT(Table1[[#This Row],[Full Name ]],SEARCH(" ",Table1[[#This Row],[Full Name ]]))</f>
        <v xml:space="preserve">Aaradhya </v>
      </c>
      <c r="AM79" s="1">
        <f>LEN(Table1[[#This Row],[Frist_Name ]])</f>
        <v>8</v>
      </c>
      <c r="AN79" s="1"/>
      <c r="AO79" s="1"/>
    </row>
    <row r="80" spans="1:46" x14ac:dyDescent="0.3">
      <c r="A80" s="1">
        <v>79</v>
      </c>
      <c r="B80" s="1" t="s">
        <v>162</v>
      </c>
      <c r="C80" s="1" t="s">
        <v>52</v>
      </c>
      <c r="D80" t="str">
        <f>_xlfn.CONCAT(Table1[[#This Row],[Frist_Name ]]," ",Table1[[#This Row],[Last_Name]])</f>
        <v>Tejas Shah</v>
      </c>
      <c r="E80" s="1">
        <v>16</v>
      </c>
      <c r="F80" s="1" t="s">
        <v>19</v>
      </c>
      <c r="G80" s="1">
        <v>10</v>
      </c>
      <c r="H80" s="1" t="s">
        <v>34</v>
      </c>
      <c r="I80" s="1">
        <v>83</v>
      </c>
      <c r="J80" s="1">
        <v>77</v>
      </c>
      <c r="K80" s="1">
        <v>66</v>
      </c>
      <c r="L80" s="1">
        <v>70</v>
      </c>
      <c r="M80" s="1">
        <v>73</v>
      </c>
      <c r="N80" s="1">
        <v>75</v>
      </c>
      <c r="O80" s="1">
        <v>13</v>
      </c>
      <c r="P80" s="1" t="s">
        <v>21</v>
      </c>
      <c r="Q80" s="1" t="s">
        <v>22</v>
      </c>
      <c r="R80" s="1" t="s">
        <v>23</v>
      </c>
      <c r="S80" s="1">
        <v>70</v>
      </c>
      <c r="T80" s="1" t="s">
        <v>29</v>
      </c>
      <c r="U80" s="1" t="s">
        <v>24</v>
      </c>
      <c r="W80">
        <f>(Table1[[#This Row],[Assignments Avg]]*0.1)+(Table1[[#This Row],[Midterm Score]]*0.3)+(Table1[[#This Row],[Final Exam Score]]*0.45)+(Table1[[#This Row],[Project Score]]*0.1)</f>
        <v>66.3</v>
      </c>
      <c r="X80" s="1" t="str">
        <f>IF(OR(Table1[[#This Row],[Attendance %]]&lt;57,Table1[[#This Row],[Final Score]]&lt;45),"At-Risk","Ok")</f>
        <v>Ok</v>
      </c>
      <c r="Y80" s="1" t="str">
        <f>IF(Table1[[#This Row],[Study Hours]]&lt;5,"Low Study","Normal")</f>
        <v>Normal</v>
      </c>
      <c r="Z80" s="1">
        <f>Table1[[#This Row],[Final Exam Score]]-Table1[[#This Row],[Midterm Score]]</f>
        <v>4</v>
      </c>
      <c r="AA80" s="1" t="str">
        <f>IF(Table1[[#This Row],[Final Score]]&gt;=80,"A",IF(Table1[[#This Row],[Final Score]]&gt;=70,"B",IF(Table1[[#This Row],[Final Score]]&gt;=60,"C",IF(Table1[[#This Row],[Final Score]]&gt;=50,"D","F"))))</f>
        <v>B</v>
      </c>
      <c r="AB80" s="1">
        <f>Table1[[#This Row],[Final Score]]+5</f>
        <v>75</v>
      </c>
      <c r="AC80" s="1" t="str">
        <f>IF(Table1[[#This Row],[Final Score]]&gt;=40,"Pass","Fail")</f>
        <v>Pass</v>
      </c>
      <c r="AD80" t="str">
        <f>IF(OR(Table1[[#This Row],[Final Score]]&gt;=80,Table1[[#This Row],[Attendance %]]&gt;=90),"High Performer","normal")</f>
        <v>normal</v>
      </c>
      <c r="AE80" s="1" t="str">
        <f>IF(Table1[[#This Row],[Gender]]="Male","Boy","Girl")</f>
        <v>Boy</v>
      </c>
      <c r="AF80" s="1" t="str">
        <f>IF(Table1[[#This Row],[Final Score]]&gt;90,"Certificate","No Allow Certificate")</f>
        <v>No Allow Certificate</v>
      </c>
      <c r="AG80" s="1" t="str">
        <f>IF(Table1[[#This Row],[Extracurricular]]="Yes","Active","Not Active")</f>
        <v>Active</v>
      </c>
      <c r="AH80" s="1" t="str">
        <f>IF(Table1[[#This Row],[Parent Education]]="Graduate","Educated_Parent", "Other")</f>
        <v>Educated_Parent</v>
      </c>
      <c r="AI80" s="1" t="str">
        <f>IF(Table1[[#This Row],[Assignments Avg]]&lt;70,"Need Practice","Ok")</f>
        <v>Ok</v>
      </c>
      <c r="AJ80" s="1" t="str">
        <f>Table1[[#This Row],[Frist_Name ]]&amp;" -"&amp;Table1[[#This Row],[Class]]</f>
        <v>Tejas -10</v>
      </c>
      <c r="AK80" s="1" t="str">
        <f>RIGHT(Table1[[#This Row],[Full Name ]],LEN(Table1[[#This Row],[Full Name ]])-SEARCH(" ",Table1[[#This Row],[Full Name ]]))</f>
        <v>Shah</v>
      </c>
      <c r="AL80" s="1" t="str">
        <f>LEFT(Table1[[#This Row],[Full Name ]],SEARCH(" ",Table1[[#This Row],[Full Name ]]))</f>
        <v xml:space="preserve">Tejas </v>
      </c>
      <c r="AM80" s="1">
        <f>LEN(Table1[[#This Row],[Frist_Name ]])</f>
        <v>5</v>
      </c>
      <c r="AN80" s="1"/>
      <c r="AO80" s="1"/>
      <c r="AP80" s="2" t="s">
        <v>202</v>
      </c>
      <c r="AQ80" t="s">
        <v>211</v>
      </c>
    </row>
    <row r="81" spans="1:46" x14ac:dyDescent="0.3">
      <c r="A81" s="1">
        <v>80</v>
      </c>
      <c r="B81" s="1" t="s">
        <v>163</v>
      </c>
      <c r="C81" s="1" t="s">
        <v>164</v>
      </c>
      <c r="D81" t="str">
        <f>_xlfn.CONCAT(Table1[[#This Row],[Frist_Name ]]," ",Table1[[#This Row],[Last_Name]])</f>
        <v>Simran Kaur</v>
      </c>
      <c r="E81" s="1">
        <v>15</v>
      </c>
      <c r="F81" s="1" t="s">
        <v>25</v>
      </c>
      <c r="G81" s="1">
        <v>10</v>
      </c>
      <c r="H81" s="1" t="s">
        <v>34</v>
      </c>
      <c r="I81" s="1">
        <v>90</v>
      </c>
      <c r="J81" s="1">
        <v>86</v>
      </c>
      <c r="K81" s="1">
        <v>81</v>
      </c>
      <c r="L81" s="1">
        <v>85</v>
      </c>
      <c r="M81" s="1">
        <v>88</v>
      </c>
      <c r="N81" s="1">
        <v>87</v>
      </c>
      <c r="O81" s="1">
        <v>18</v>
      </c>
      <c r="P81" s="1" t="s">
        <v>21</v>
      </c>
      <c r="Q81" s="1" t="s">
        <v>22</v>
      </c>
      <c r="R81" s="1" t="s">
        <v>27</v>
      </c>
      <c r="S81" s="1">
        <v>85</v>
      </c>
      <c r="T81" s="1" t="s">
        <v>20</v>
      </c>
      <c r="U81" s="1" t="s">
        <v>24</v>
      </c>
      <c r="W81">
        <f>(Table1[[#This Row],[Assignments Avg]]*0.1)+(Table1[[#This Row],[Midterm Score]]*0.3)+(Table1[[#This Row],[Final Exam Score]]*0.45)+(Table1[[#This Row],[Project Score]]*0.1)</f>
        <v>79.95</v>
      </c>
      <c r="X81" s="1" t="str">
        <f>IF(OR(Table1[[#This Row],[Attendance %]]&lt;57,Table1[[#This Row],[Final Score]]&lt;45),"At-Risk","Ok")</f>
        <v>Ok</v>
      </c>
      <c r="Y81" s="1" t="str">
        <f>IF(Table1[[#This Row],[Study Hours]]&lt;5,"Low Study","Normal")</f>
        <v>Normal</v>
      </c>
      <c r="Z81" s="1">
        <f>Table1[[#This Row],[Final Exam Score]]-Table1[[#This Row],[Midterm Score]]</f>
        <v>4</v>
      </c>
      <c r="AA81" s="1" t="str">
        <f>IF(Table1[[#This Row],[Final Score]]&gt;=80,"A",IF(Table1[[#This Row],[Final Score]]&gt;=70,"B",IF(Table1[[#This Row],[Final Score]]&gt;=60,"C",IF(Table1[[#This Row],[Final Score]]&gt;=50,"D","F"))))</f>
        <v>A</v>
      </c>
      <c r="AB81" s="1">
        <f>Table1[[#This Row],[Final Score]]+5</f>
        <v>90</v>
      </c>
      <c r="AC81" s="1" t="str">
        <f>IF(Table1[[#This Row],[Final Score]]&gt;=40,"Pass","Fail")</f>
        <v>Pass</v>
      </c>
      <c r="AD81" t="str">
        <f>IF(OR(Table1[[#This Row],[Final Score]]&gt;=80,Table1[[#This Row],[Attendance %]]&gt;=90),"High Performer","normal")</f>
        <v>High Performer</v>
      </c>
      <c r="AE81" s="1" t="str">
        <f>IF(Table1[[#This Row],[Gender]]="Male","Boy","Girl")</f>
        <v>Girl</v>
      </c>
      <c r="AF81" s="1" t="str">
        <f>IF(Table1[[#This Row],[Final Score]]&gt;90,"Certificate","No Allow Certificate")</f>
        <v>No Allow Certificate</v>
      </c>
      <c r="AG81" s="1" t="str">
        <f>IF(Table1[[#This Row],[Extracurricular]]="Yes","Active","Not Active")</f>
        <v>Active</v>
      </c>
      <c r="AH81" s="1" t="str">
        <f>IF(Table1[[#This Row],[Parent Education]]="Graduate","Educated_Parent", "Other")</f>
        <v>Educated_Parent</v>
      </c>
      <c r="AI81" s="1" t="str">
        <f>IF(Table1[[#This Row],[Assignments Avg]]&lt;70,"Need Practice","Ok")</f>
        <v>Ok</v>
      </c>
      <c r="AJ81" s="1" t="str">
        <f>Table1[[#This Row],[Frist_Name ]]&amp;" -"&amp;Table1[[#This Row],[Class]]</f>
        <v>Simran -10</v>
      </c>
      <c r="AK81" s="1" t="str">
        <f>RIGHT(Table1[[#This Row],[Full Name ]],LEN(Table1[[#This Row],[Full Name ]])-SEARCH(" ",Table1[[#This Row],[Full Name ]]))</f>
        <v>Kaur</v>
      </c>
      <c r="AL81" s="1" t="str">
        <f>LEFT(Table1[[#This Row],[Full Name ]],SEARCH(" ",Table1[[#This Row],[Full Name ]]))</f>
        <v xml:space="preserve">Simran </v>
      </c>
      <c r="AM81" s="1">
        <f>LEN(Table1[[#This Row],[Frist_Name ]])</f>
        <v>6</v>
      </c>
      <c r="AN81" s="1"/>
      <c r="AO81" s="1"/>
      <c r="AP81" s="3" t="s">
        <v>20</v>
      </c>
      <c r="AQ81">
        <v>16</v>
      </c>
    </row>
    <row r="82" spans="1:46" x14ac:dyDescent="0.3">
      <c r="A82" s="1">
        <v>81</v>
      </c>
      <c r="B82" s="1" t="s">
        <v>165</v>
      </c>
      <c r="C82" s="1" t="s">
        <v>42</v>
      </c>
      <c r="D82" t="str">
        <f>_xlfn.CONCAT(Table1[[#This Row],[Frist_Name ]]," ",Table1[[#This Row],[Last_Name]])</f>
        <v>Rajveer Singh</v>
      </c>
      <c r="E82" s="1">
        <v>16</v>
      </c>
      <c r="F82" s="1" t="s">
        <v>19</v>
      </c>
      <c r="G82" s="1">
        <v>10</v>
      </c>
      <c r="H82" s="1" t="s">
        <v>20</v>
      </c>
      <c r="I82" s="1">
        <v>69</v>
      </c>
      <c r="J82" s="1">
        <v>61</v>
      </c>
      <c r="K82" s="1">
        <v>44</v>
      </c>
      <c r="L82" s="1">
        <v>40</v>
      </c>
      <c r="M82" s="1">
        <v>49</v>
      </c>
      <c r="N82" s="1">
        <v>52</v>
      </c>
      <c r="O82" s="1">
        <v>6</v>
      </c>
      <c r="P82" s="1" t="s">
        <v>30</v>
      </c>
      <c r="Q82" s="1" t="s">
        <v>31</v>
      </c>
      <c r="R82" s="1" t="s">
        <v>33</v>
      </c>
      <c r="S82" s="1">
        <v>44</v>
      </c>
      <c r="T82" s="1" t="s">
        <v>34</v>
      </c>
      <c r="U82" s="1" t="s">
        <v>35</v>
      </c>
      <c r="W82">
        <f>(Table1[[#This Row],[Assignments Avg]]*0.1)+(Table1[[#This Row],[Midterm Score]]*0.3)+(Table1[[#This Row],[Final Exam Score]]*0.45)+(Table1[[#This Row],[Project Score]]*0.1)</f>
        <v>42.199999999999996</v>
      </c>
      <c r="X82" s="1" t="str">
        <f>IF(OR(Table1[[#This Row],[Attendance %]]&lt;57,Table1[[#This Row],[Final Score]]&lt;45),"At-Risk","Ok")</f>
        <v>At-Risk</v>
      </c>
      <c r="Y82" s="1" t="str">
        <f>IF(Table1[[#This Row],[Study Hours]]&lt;5,"Low Study","Normal")</f>
        <v>Normal</v>
      </c>
      <c r="Z82" s="1">
        <f>Table1[[#This Row],[Final Exam Score]]-Table1[[#This Row],[Midterm Score]]</f>
        <v>-4</v>
      </c>
      <c r="AA82" s="1" t="str">
        <f>IF(Table1[[#This Row],[Final Score]]&gt;=80,"A",IF(Table1[[#This Row],[Final Score]]&gt;=70,"B",IF(Table1[[#This Row],[Final Score]]&gt;=60,"C",IF(Table1[[#This Row],[Final Score]]&gt;=50,"D","F"))))</f>
        <v>F</v>
      </c>
      <c r="AB82" s="1">
        <f>Table1[[#This Row],[Final Score]]+5</f>
        <v>49</v>
      </c>
      <c r="AC82" s="1" t="str">
        <f>IF(Table1[[#This Row],[Final Score]]&gt;=40,"Pass","Fail")</f>
        <v>Pass</v>
      </c>
      <c r="AD82" t="str">
        <f>IF(OR(Table1[[#This Row],[Final Score]]&gt;=80,Table1[[#This Row],[Attendance %]]&gt;=90),"High Performer","normal")</f>
        <v>normal</v>
      </c>
      <c r="AE82" s="1" t="str">
        <f>IF(Table1[[#This Row],[Gender]]="Male","Boy","Girl")</f>
        <v>Boy</v>
      </c>
      <c r="AF82" s="1" t="str">
        <f>IF(Table1[[#This Row],[Final Score]]&gt;90,"Certificate","No Allow Certificate")</f>
        <v>No Allow Certificate</v>
      </c>
      <c r="AG82" s="1" t="str">
        <f>IF(Table1[[#This Row],[Extracurricular]]="Yes","Active","Not Active")</f>
        <v>Not Active</v>
      </c>
      <c r="AH82" s="1" t="str">
        <f>IF(Table1[[#This Row],[Parent Education]]="Graduate","Educated_Parent", "Other")</f>
        <v>Other</v>
      </c>
      <c r="AI82" s="1" t="str">
        <f>IF(Table1[[#This Row],[Assignments Avg]]&lt;70,"Need Practice","Ok")</f>
        <v>Need Practice</v>
      </c>
      <c r="AJ82" s="1" t="str">
        <f>Table1[[#This Row],[Frist_Name ]]&amp;" -"&amp;Table1[[#This Row],[Class]]</f>
        <v>Rajveer -10</v>
      </c>
      <c r="AK82" s="1" t="str">
        <f>RIGHT(Table1[[#This Row],[Full Name ]],LEN(Table1[[#This Row],[Full Name ]])-SEARCH(" ",Table1[[#This Row],[Full Name ]]))</f>
        <v>Singh</v>
      </c>
      <c r="AL82" s="1" t="str">
        <f>LEFT(Table1[[#This Row],[Full Name ]],SEARCH(" ",Table1[[#This Row],[Full Name ]]))</f>
        <v xml:space="preserve">Rajveer </v>
      </c>
      <c r="AM82" s="1">
        <f>LEN(Table1[[#This Row],[Frist_Name ]])</f>
        <v>7</v>
      </c>
      <c r="AN82" s="1"/>
      <c r="AO82" s="1"/>
      <c r="AP82" s="3" t="s">
        <v>28</v>
      </c>
      <c r="AQ82">
        <v>19</v>
      </c>
    </row>
    <row r="83" spans="1:46" x14ac:dyDescent="0.3">
      <c r="A83" s="1">
        <v>82</v>
      </c>
      <c r="B83" s="1" t="s">
        <v>71</v>
      </c>
      <c r="C83" s="1" t="s">
        <v>58</v>
      </c>
      <c r="D83" t="str">
        <f>_xlfn.CONCAT(Table1[[#This Row],[Frist_Name ]]," ",Table1[[#This Row],[Last_Name]])</f>
        <v>Myra Desai</v>
      </c>
      <c r="E83" s="1">
        <v>15</v>
      </c>
      <c r="F83" s="1" t="s">
        <v>25</v>
      </c>
      <c r="G83" s="1">
        <v>10</v>
      </c>
      <c r="H83" s="1" t="s">
        <v>20</v>
      </c>
      <c r="I83" s="1">
        <v>88</v>
      </c>
      <c r="J83" s="1">
        <v>83</v>
      </c>
      <c r="K83" s="1">
        <v>74</v>
      </c>
      <c r="L83" s="1">
        <v>79</v>
      </c>
      <c r="M83" s="1">
        <v>82</v>
      </c>
      <c r="N83" s="1">
        <v>80</v>
      </c>
      <c r="O83" s="1">
        <v>15</v>
      </c>
      <c r="P83" s="1" t="s">
        <v>21</v>
      </c>
      <c r="Q83" s="1" t="s">
        <v>22</v>
      </c>
      <c r="R83" s="1" t="s">
        <v>23</v>
      </c>
      <c r="S83" s="1">
        <v>78</v>
      </c>
      <c r="T83" s="1" t="s">
        <v>29</v>
      </c>
      <c r="U83" s="1" t="s">
        <v>24</v>
      </c>
      <c r="W83">
        <f>(Table1[[#This Row],[Assignments Avg]]*0.1)+(Table1[[#This Row],[Midterm Score]]*0.3)+(Table1[[#This Row],[Final Exam Score]]*0.45)+(Table1[[#This Row],[Project Score]]*0.1)</f>
        <v>74.250000000000014</v>
      </c>
      <c r="X83" s="1" t="str">
        <f>IF(OR(Table1[[#This Row],[Attendance %]]&lt;57,Table1[[#This Row],[Final Score]]&lt;45),"At-Risk","Ok")</f>
        <v>Ok</v>
      </c>
      <c r="Y83" s="1" t="str">
        <f>IF(Table1[[#This Row],[Study Hours]]&lt;5,"Low Study","Normal")</f>
        <v>Normal</v>
      </c>
      <c r="Z83" s="1">
        <f>Table1[[#This Row],[Final Exam Score]]-Table1[[#This Row],[Midterm Score]]</f>
        <v>5</v>
      </c>
      <c r="AA83" s="1" t="str">
        <f>IF(Table1[[#This Row],[Final Score]]&gt;=80,"A",IF(Table1[[#This Row],[Final Score]]&gt;=70,"B",IF(Table1[[#This Row],[Final Score]]&gt;=60,"C",IF(Table1[[#This Row],[Final Score]]&gt;=50,"D","F"))))</f>
        <v>B</v>
      </c>
      <c r="AB83" s="1">
        <f>Table1[[#This Row],[Final Score]]+5</f>
        <v>83</v>
      </c>
      <c r="AC83" s="1" t="str">
        <f>IF(Table1[[#This Row],[Final Score]]&gt;=40,"Pass","Fail")</f>
        <v>Pass</v>
      </c>
      <c r="AD83" t="str">
        <f>IF(OR(Table1[[#This Row],[Final Score]]&gt;=80,Table1[[#This Row],[Attendance %]]&gt;=90),"High Performer","normal")</f>
        <v>normal</v>
      </c>
      <c r="AE83" s="1" t="str">
        <f>IF(Table1[[#This Row],[Gender]]="Male","Boy","Girl")</f>
        <v>Girl</v>
      </c>
      <c r="AF83" s="1" t="str">
        <f>IF(Table1[[#This Row],[Final Score]]&gt;90,"Certificate","No Allow Certificate")</f>
        <v>No Allow Certificate</v>
      </c>
      <c r="AG83" s="1" t="str">
        <f>IF(Table1[[#This Row],[Extracurricular]]="Yes","Active","Not Active")</f>
        <v>Active</v>
      </c>
      <c r="AH83" s="1" t="str">
        <f>IF(Table1[[#This Row],[Parent Education]]="Graduate","Educated_Parent", "Other")</f>
        <v>Educated_Parent</v>
      </c>
      <c r="AI83" s="1" t="str">
        <f>IF(Table1[[#This Row],[Assignments Avg]]&lt;70,"Need Practice","Ok")</f>
        <v>Ok</v>
      </c>
      <c r="AJ83" s="1" t="str">
        <f>Table1[[#This Row],[Frist_Name ]]&amp;" -"&amp;Table1[[#This Row],[Class]]</f>
        <v>Myra -10</v>
      </c>
      <c r="AK83" s="1" t="str">
        <f>RIGHT(Table1[[#This Row],[Full Name ]],LEN(Table1[[#This Row],[Full Name ]])-SEARCH(" ",Table1[[#This Row],[Full Name ]]))</f>
        <v>Desai</v>
      </c>
      <c r="AL83" s="1" t="str">
        <f>LEFT(Table1[[#This Row],[Full Name ]],SEARCH(" ",Table1[[#This Row],[Full Name ]]))</f>
        <v xml:space="preserve">Myra </v>
      </c>
      <c r="AM83" s="1">
        <f>LEN(Table1[[#This Row],[Frist_Name ]])</f>
        <v>4</v>
      </c>
      <c r="AN83" s="1"/>
      <c r="AO83" s="1"/>
      <c r="AP83" s="3" t="s">
        <v>29</v>
      </c>
      <c r="AQ83">
        <v>25</v>
      </c>
    </row>
    <row r="84" spans="1:46" x14ac:dyDescent="0.3">
      <c r="A84" s="1">
        <v>83</v>
      </c>
      <c r="B84" s="1" t="s">
        <v>166</v>
      </c>
      <c r="C84" s="1" t="s">
        <v>48</v>
      </c>
      <c r="D84" t="str">
        <f>_xlfn.CONCAT(Table1[[#This Row],[Frist_Name ]]," ",Table1[[#This Row],[Last_Name]])</f>
        <v>Devansh Gupta</v>
      </c>
      <c r="E84" s="1">
        <v>16</v>
      </c>
      <c r="F84" s="1" t="s">
        <v>19</v>
      </c>
      <c r="G84" s="1">
        <v>12</v>
      </c>
      <c r="H84" s="1" t="s">
        <v>29</v>
      </c>
      <c r="I84" s="1">
        <v>92</v>
      </c>
      <c r="J84" s="1">
        <v>87</v>
      </c>
      <c r="K84" s="1">
        <v>80</v>
      </c>
      <c r="L84" s="1">
        <v>86</v>
      </c>
      <c r="M84" s="1">
        <v>85</v>
      </c>
      <c r="N84" s="1">
        <v>88</v>
      </c>
      <c r="O84" s="1">
        <v>19</v>
      </c>
      <c r="P84" s="1" t="s">
        <v>21</v>
      </c>
      <c r="Q84" s="1" t="s">
        <v>26</v>
      </c>
      <c r="R84" s="1" t="s">
        <v>27</v>
      </c>
      <c r="S84" s="1">
        <v>85</v>
      </c>
      <c r="T84" s="1" t="s">
        <v>20</v>
      </c>
      <c r="U84" s="1" t="s">
        <v>24</v>
      </c>
      <c r="W84">
        <f>(Table1[[#This Row],[Assignments Avg]]*0.1)+(Table1[[#This Row],[Midterm Score]]*0.3)+(Table1[[#This Row],[Final Exam Score]]*0.45)+(Table1[[#This Row],[Project Score]]*0.1)</f>
        <v>79.900000000000006</v>
      </c>
      <c r="X84" s="1" t="str">
        <f>IF(OR(Table1[[#This Row],[Attendance %]]&lt;57,Table1[[#This Row],[Final Score]]&lt;45),"At-Risk","Ok")</f>
        <v>Ok</v>
      </c>
      <c r="Y84" s="1" t="str">
        <f>IF(Table1[[#This Row],[Study Hours]]&lt;5,"Low Study","Normal")</f>
        <v>Normal</v>
      </c>
      <c r="Z84" s="1">
        <f>Table1[[#This Row],[Final Exam Score]]-Table1[[#This Row],[Midterm Score]]</f>
        <v>6</v>
      </c>
      <c r="AA84" s="1" t="str">
        <f>IF(Table1[[#This Row],[Final Score]]&gt;=80,"A",IF(Table1[[#This Row],[Final Score]]&gt;=70,"B",IF(Table1[[#This Row],[Final Score]]&gt;=60,"C",IF(Table1[[#This Row],[Final Score]]&gt;=50,"D","F"))))</f>
        <v>A</v>
      </c>
      <c r="AB84" s="1">
        <f>Table1[[#This Row],[Final Score]]+5</f>
        <v>90</v>
      </c>
      <c r="AC84" s="1" t="str">
        <f>IF(Table1[[#This Row],[Final Score]]&gt;=40,"Pass","Fail")</f>
        <v>Pass</v>
      </c>
      <c r="AD84" t="str">
        <f>IF(OR(Table1[[#This Row],[Final Score]]&gt;=80,Table1[[#This Row],[Attendance %]]&gt;=90),"High Performer","normal")</f>
        <v>High Performer</v>
      </c>
      <c r="AE84" s="1" t="str">
        <f>IF(Table1[[#This Row],[Gender]]="Male","Boy","Girl")</f>
        <v>Boy</v>
      </c>
      <c r="AF84" s="1" t="str">
        <f>IF(Table1[[#This Row],[Final Score]]&gt;90,"Certificate","No Allow Certificate")</f>
        <v>No Allow Certificate</v>
      </c>
      <c r="AG84" s="1" t="str">
        <f>IF(Table1[[#This Row],[Extracurricular]]="Yes","Active","Not Active")</f>
        <v>Active</v>
      </c>
      <c r="AH84" s="1" t="str">
        <f>IF(Table1[[#This Row],[Parent Education]]="Graduate","Educated_Parent", "Other")</f>
        <v>Other</v>
      </c>
      <c r="AI84" s="1" t="str">
        <f>IF(Table1[[#This Row],[Assignments Avg]]&lt;70,"Need Practice","Ok")</f>
        <v>Ok</v>
      </c>
      <c r="AJ84" s="1" t="str">
        <f>Table1[[#This Row],[Frist_Name ]]&amp;" -"&amp;Table1[[#This Row],[Class]]</f>
        <v>Devansh -12</v>
      </c>
      <c r="AK84" s="1" t="str">
        <f>RIGHT(Table1[[#This Row],[Full Name ]],LEN(Table1[[#This Row],[Full Name ]])-SEARCH(" ",Table1[[#This Row],[Full Name ]]))</f>
        <v>Gupta</v>
      </c>
      <c r="AL84" s="1" t="str">
        <f>LEFT(Table1[[#This Row],[Full Name ]],SEARCH(" ",Table1[[#This Row],[Full Name ]]))</f>
        <v xml:space="preserve">Devansh </v>
      </c>
      <c r="AM84" s="1">
        <f>LEN(Table1[[#This Row],[Frist_Name ]])</f>
        <v>7</v>
      </c>
      <c r="AN84" s="1"/>
      <c r="AO84" s="1"/>
      <c r="AP84" s="3" t="s">
        <v>32</v>
      </c>
      <c r="AQ84">
        <v>15</v>
      </c>
    </row>
    <row r="85" spans="1:46" x14ac:dyDescent="0.3">
      <c r="A85" s="1">
        <v>84</v>
      </c>
      <c r="B85" s="1" t="s">
        <v>167</v>
      </c>
      <c r="C85" s="1" t="s">
        <v>60</v>
      </c>
      <c r="D85" t="str">
        <f>_xlfn.CONCAT(Table1[[#This Row],[Frist_Name ]]," ",Table1[[#This Row],[Last_Name]])</f>
        <v>Suhani Rao</v>
      </c>
      <c r="E85" s="1">
        <v>15</v>
      </c>
      <c r="F85" s="1" t="s">
        <v>25</v>
      </c>
      <c r="G85" s="1">
        <v>10</v>
      </c>
      <c r="H85" s="1" t="s">
        <v>29</v>
      </c>
      <c r="I85" s="1">
        <v>76</v>
      </c>
      <c r="J85" s="1">
        <v>70</v>
      </c>
      <c r="K85" s="1">
        <v>55</v>
      </c>
      <c r="L85" s="1">
        <v>60</v>
      </c>
      <c r="M85" s="1">
        <v>63</v>
      </c>
      <c r="N85" s="1">
        <v>66</v>
      </c>
      <c r="O85" s="1">
        <v>9</v>
      </c>
      <c r="P85" s="1" t="s">
        <v>30</v>
      </c>
      <c r="Q85" s="1" t="s">
        <v>31</v>
      </c>
      <c r="R85" s="1" t="s">
        <v>23</v>
      </c>
      <c r="S85" s="1">
        <v>61</v>
      </c>
      <c r="T85" s="1" t="s">
        <v>32</v>
      </c>
      <c r="U85" s="1" t="s">
        <v>24</v>
      </c>
      <c r="W85">
        <f>(Table1[[#This Row],[Assignments Avg]]*0.1)+(Table1[[#This Row],[Midterm Score]]*0.3)+(Table1[[#This Row],[Final Exam Score]]*0.45)+(Table1[[#This Row],[Project Score]]*0.1)</f>
        <v>56.8</v>
      </c>
      <c r="X85" s="1" t="str">
        <f>IF(OR(Table1[[#This Row],[Attendance %]]&lt;57,Table1[[#This Row],[Final Score]]&lt;45),"At-Risk","Ok")</f>
        <v>Ok</v>
      </c>
      <c r="Y85" s="1" t="str">
        <f>IF(Table1[[#This Row],[Study Hours]]&lt;5,"Low Study","Normal")</f>
        <v>Normal</v>
      </c>
      <c r="Z85" s="1">
        <f>Table1[[#This Row],[Final Exam Score]]-Table1[[#This Row],[Midterm Score]]</f>
        <v>5</v>
      </c>
      <c r="AA85" s="1" t="str">
        <f>IF(Table1[[#This Row],[Final Score]]&gt;=80,"A",IF(Table1[[#This Row],[Final Score]]&gt;=70,"B",IF(Table1[[#This Row],[Final Score]]&gt;=60,"C",IF(Table1[[#This Row],[Final Score]]&gt;=50,"D","F"))))</f>
        <v>C</v>
      </c>
      <c r="AB85" s="1">
        <f>Table1[[#This Row],[Final Score]]+5</f>
        <v>66</v>
      </c>
      <c r="AC85" s="1" t="str">
        <f>IF(Table1[[#This Row],[Final Score]]&gt;=40,"Pass","Fail")</f>
        <v>Pass</v>
      </c>
      <c r="AD85" t="str">
        <f>IF(OR(Table1[[#This Row],[Final Score]]&gt;=80,Table1[[#This Row],[Attendance %]]&gt;=90),"High Performer","normal")</f>
        <v>normal</v>
      </c>
      <c r="AE85" s="1" t="str">
        <f>IF(Table1[[#This Row],[Gender]]="Male","Boy","Girl")</f>
        <v>Girl</v>
      </c>
      <c r="AF85" s="1" t="str">
        <f>IF(Table1[[#This Row],[Final Score]]&gt;90,"Certificate","No Allow Certificate")</f>
        <v>No Allow Certificate</v>
      </c>
      <c r="AG85" s="1" t="str">
        <f>IF(Table1[[#This Row],[Extracurricular]]="Yes","Active","Not Active")</f>
        <v>Not Active</v>
      </c>
      <c r="AH85" s="1" t="str">
        <f>IF(Table1[[#This Row],[Parent Education]]="Graduate","Educated_Parent", "Other")</f>
        <v>Other</v>
      </c>
      <c r="AI85" s="1" t="str">
        <f>IF(Table1[[#This Row],[Assignments Avg]]&lt;70,"Need Practice","Ok")</f>
        <v>Ok</v>
      </c>
      <c r="AJ85" s="1" t="str">
        <f>Table1[[#This Row],[Frist_Name ]]&amp;" -"&amp;Table1[[#This Row],[Class]]</f>
        <v>Suhani -10</v>
      </c>
      <c r="AK85" s="1" t="str">
        <f>RIGHT(Table1[[#This Row],[Full Name ]],LEN(Table1[[#This Row],[Full Name ]])-SEARCH(" ",Table1[[#This Row],[Full Name ]]))</f>
        <v>Rao</v>
      </c>
      <c r="AL85" s="1" t="str">
        <f>LEFT(Table1[[#This Row],[Full Name ]],SEARCH(" ",Table1[[#This Row],[Full Name ]]))</f>
        <v xml:space="preserve">Suhani </v>
      </c>
      <c r="AM85" s="1">
        <f>LEN(Table1[[#This Row],[Frist_Name ]])</f>
        <v>6</v>
      </c>
      <c r="AN85" s="1"/>
      <c r="AO85" s="1"/>
      <c r="AP85" s="3" t="s">
        <v>34</v>
      </c>
      <c r="AQ85">
        <v>19</v>
      </c>
    </row>
    <row r="86" spans="1:46" x14ac:dyDescent="0.3">
      <c r="A86" s="1">
        <v>85</v>
      </c>
      <c r="B86" s="1" t="s">
        <v>108</v>
      </c>
      <c r="C86" s="1" t="s">
        <v>46</v>
      </c>
      <c r="D86" t="str">
        <f>_xlfn.CONCAT(Table1[[#This Row],[Frist_Name ]]," ",Table1[[#This Row],[Last_Name]])</f>
        <v>Arnav Mehta</v>
      </c>
      <c r="E86" s="1">
        <v>16</v>
      </c>
      <c r="F86" s="1" t="s">
        <v>19</v>
      </c>
      <c r="G86" s="1">
        <v>12</v>
      </c>
      <c r="H86" s="1" t="s">
        <v>32</v>
      </c>
      <c r="I86" s="1">
        <v>60</v>
      </c>
      <c r="J86" s="1">
        <v>53</v>
      </c>
      <c r="K86" s="1">
        <v>36</v>
      </c>
      <c r="L86" s="1">
        <v>32</v>
      </c>
      <c r="M86" s="1">
        <v>43</v>
      </c>
      <c r="N86" s="1">
        <v>41</v>
      </c>
      <c r="O86" s="1">
        <v>4</v>
      </c>
      <c r="P86" s="1" t="s">
        <v>30</v>
      </c>
      <c r="Q86" s="1" t="s">
        <v>31</v>
      </c>
      <c r="R86" s="1" t="s">
        <v>33</v>
      </c>
      <c r="S86" s="1">
        <v>37</v>
      </c>
      <c r="T86" s="1" t="s">
        <v>36</v>
      </c>
      <c r="U86" s="1" t="s">
        <v>35</v>
      </c>
      <c r="W86">
        <f>(Table1[[#This Row],[Assignments Avg]]*0.1)+(Table1[[#This Row],[Midterm Score]]*0.3)+(Table1[[#This Row],[Final Exam Score]]*0.45)+(Table1[[#This Row],[Project Score]]*0.1)</f>
        <v>34.799999999999997</v>
      </c>
      <c r="X86" s="1" t="str">
        <f>IF(OR(Table1[[#This Row],[Attendance %]]&lt;57,Table1[[#This Row],[Final Score]]&lt;45),"At-Risk","Ok")</f>
        <v>At-Risk</v>
      </c>
      <c r="Y86" s="1" t="str">
        <f>IF(Table1[[#This Row],[Study Hours]]&lt;5,"Low Study","Normal")</f>
        <v>Low Study</v>
      </c>
      <c r="Z86" s="1">
        <f>Table1[[#This Row],[Final Exam Score]]-Table1[[#This Row],[Midterm Score]]</f>
        <v>-4</v>
      </c>
      <c r="AA86" s="1" t="str">
        <f>IF(Table1[[#This Row],[Final Score]]&gt;=80,"A",IF(Table1[[#This Row],[Final Score]]&gt;=70,"B",IF(Table1[[#This Row],[Final Score]]&gt;=60,"C",IF(Table1[[#This Row],[Final Score]]&gt;=50,"D","F"))))</f>
        <v>F</v>
      </c>
      <c r="AB86" s="1">
        <f>Table1[[#This Row],[Final Score]]+5</f>
        <v>42</v>
      </c>
      <c r="AC86" s="1" t="str">
        <f>IF(Table1[[#This Row],[Final Score]]&gt;=40,"Pass","Fail")</f>
        <v>Fail</v>
      </c>
      <c r="AD86" t="str">
        <f>IF(OR(Table1[[#This Row],[Final Score]]&gt;=80,Table1[[#This Row],[Attendance %]]&gt;=90),"High Performer","normal")</f>
        <v>normal</v>
      </c>
      <c r="AE86" s="1" t="str">
        <f>IF(Table1[[#This Row],[Gender]]="Male","Boy","Girl")</f>
        <v>Boy</v>
      </c>
      <c r="AF86" s="1" t="str">
        <f>IF(Table1[[#This Row],[Final Score]]&gt;90,"Certificate","No Allow Certificate")</f>
        <v>No Allow Certificate</v>
      </c>
      <c r="AG86" s="1" t="str">
        <f>IF(Table1[[#This Row],[Extracurricular]]="Yes","Active","Not Active")</f>
        <v>Not Active</v>
      </c>
      <c r="AH86" s="1" t="str">
        <f>IF(Table1[[#This Row],[Parent Education]]="Graduate","Educated_Parent", "Other")</f>
        <v>Other</v>
      </c>
      <c r="AI86" s="1" t="str">
        <f>IF(Table1[[#This Row],[Assignments Avg]]&lt;70,"Need Practice","Ok")</f>
        <v>Need Practice</v>
      </c>
      <c r="AJ86" s="1" t="str">
        <f>Table1[[#This Row],[Frist_Name ]]&amp;" -"&amp;Table1[[#This Row],[Class]]</f>
        <v>Arnav -12</v>
      </c>
      <c r="AK86" s="1" t="str">
        <f>RIGHT(Table1[[#This Row],[Full Name ]],LEN(Table1[[#This Row],[Full Name ]])-SEARCH(" ",Table1[[#This Row],[Full Name ]]))</f>
        <v>Mehta</v>
      </c>
      <c r="AL86" s="1" t="str">
        <f>LEFT(Table1[[#This Row],[Full Name ]],SEARCH(" ",Table1[[#This Row],[Full Name ]]))</f>
        <v xml:space="preserve">Arnav </v>
      </c>
      <c r="AM86" s="1">
        <f>LEN(Table1[[#This Row],[Frist_Name ]])</f>
        <v>5</v>
      </c>
      <c r="AN86" s="1"/>
      <c r="AO86" s="1"/>
      <c r="AP86" s="3" t="s">
        <v>36</v>
      </c>
      <c r="AQ86">
        <v>6</v>
      </c>
    </row>
    <row r="87" spans="1:46" x14ac:dyDescent="0.3">
      <c r="A87" s="1">
        <v>86</v>
      </c>
      <c r="B87" s="1" t="s">
        <v>168</v>
      </c>
      <c r="C87" s="1" t="s">
        <v>38</v>
      </c>
      <c r="D87" t="str">
        <f>_xlfn.CONCAT(Table1[[#This Row],[Frist_Name ]]," ",Table1[[#This Row],[Last_Name]])</f>
        <v>Anaya Sharma</v>
      </c>
      <c r="E87" s="1">
        <v>15</v>
      </c>
      <c r="F87" s="1" t="s">
        <v>25</v>
      </c>
      <c r="G87" s="1">
        <v>10</v>
      </c>
      <c r="H87" s="1" t="s">
        <v>32</v>
      </c>
      <c r="I87" s="1">
        <v>98</v>
      </c>
      <c r="J87" s="1">
        <v>96</v>
      </c>
      <c r="K87" s="1">
        <v>94</v>
      </c>
      <c r="L87" s="1">
        <v>97</v>
      </c>
      <c r="M87" s="1">
        <v>96</v>
      </c>
      <c r="N87" s="1">
        <v>98</v>
      </c>
      <c r="O87" s="1">
        <v>26</v>
      </c>
      <c r="P87" s="1" t="s">
        <v>21</v>
      </c>
      <c r="Q87" s="1" t="s">
        <v>26</v>
      </c>
      <c r="R87" s="1" t="s">
        <v>27</v>
      </c>
      <c r="S87" s="1">
        <v>96</v>
      </c>
      <c r="T87" s="1" t="s">
        <v>28</v>
      </c>
      <c r="U87" s="1" t="s">
        <v>24</v>
      </c>
      <c r="W87">
        <f>(Table1[[#This Row],[Assignments Avg]]*0.1)+(Table1[[#This Row],[Midterm Score]]*0.3)+(Table1[[#This Row],[Final Exam Score]]*0.45)+(Table1[[#This Row],[Project Score]]*0.1)</f>
        <v>91.049999999999983</v>
      </c>
      <c r="X87" s="1" t="str">
        <f>IF(OR(Table1[[#This Row],[Attendance %]]&lt;57,Table1[[#This Row],[Final Score]]&lt;45),"At-Risk","Ok")</f>
        <v>Ok</v>
      </c>
      <c r="Y87" s="1" t="str">
        <f>IF(Table1[[#This Row],[Study Hours]]&lt;5,"Low Study","Normal")</f>
        <v>Normal</v>
      </c>
      <c r="Z87" s="1">
        <f>Table1[[#This Row],[Final Exam Score]]-Table1[[#This Row],[Midterm Score]]</f>
        <v>3</v>
      </c>
      <c r="AA87" s="1" t="str">
        <f>IF(Table1[[#This Row],[Final Score]]&gt;=80,"A",IF(Table1[[#This Row],[Final Score]]&gt;=70,"B",IF(Table1[[#This Row],[Final Score]]&gt;=60,"C",IF(Table1[[#This Row],[Final Score]]&gt;=50,"D","F"))))</f>
        <v>A</v>
      </c>
      <c r="AB87" s="1">
        <f>Table1[[#This Row],[Final Score]]+5</f>
        <v>101</v>
      </c>
      <c r="AC87" s="1" t="str">
        <f>IF(Table1[[#This Row],[Final Score]]&gt;=40,"Pass","Fail")</f>
        <v>Pass</v>
      </c>
      <c r="AD87" t="str">
        <f>IF(OR(Table1[[#This Row],[Final Score]]&gt;=80,Table1[[#This Row],[Attendance %]]&gt;=90),"High Performer","normal")</f>
        <v>High Performer</v>
      </c>
      <c r="AE87" s="1" t="str">
        <f>IF(Table1[[#This Row],[Gender]]="Male","Boy","Girl")</f>
        <v>Girl</v>
      </c>
      <c r="AF87" s="1" t="str">
        <f>IF(Table1[[#This Row],[Final Score]]&gt;90,"Certificate","No Allow Certificate")</f>
        <v>Certificate</v>
      </c>
      <c r="AG87" s="1" t="str">
        <f>IF(Table1[[#This Row],[Extracurricular]]="Yes","Active","Not Active")</f>
        <v>Active</v>
      </c>
      <c r="AH87" s="1" t="str">
        <f>IF(Table1[[#This Row],[Parent Education]]="Graduate","Educated_Parent", "Other")</f>
        <v>Other</v>
      </c>
      <c r="AI87" s="1" t="str">
        <f>IF(Table1[[#This Row],[Assignments Avg]]&lt;70,"Need Practice","Ok")</f>
        <v>Ok</v>
      </c>
      <c r="AJ87" s="1" t="str">
        <f>Table1[[#This Row],[Frist_Name ]]&amp;" -"&amp;Table1[[#This Row],[Class]]</f>
        <v>Anaya -10</v>
      </c>
      <c r="AK87" s="1" t="str">
        <f>RIGHT(Table1[[#This Row],[Full Name ]],LEN(Table1[[#This Row],[Full Name ]])-SEARCH(" ",Table1[[#This Row],[Full Name ]]))</f>
        <v>Sharma</v>
      </c>
      <c r="AL87" s="1" t="str">
        <f>LEFT(Table1[[#This Row],[Full Name ]],SEARCH(" ",Table1[[#This Row],[Full Name ]]))</f>
        <v xml:space="preserve">Anaya </v>
      </c>
      <c r="AM87" s="1">
        <f>LEN(Table1[[#This Row],[Frist_Name ]])</f>
        <v>5</v>
      </c>
      <c r="AN87" s="1"/>
      <c r="AO87" s="1"/>
      <c r="AP87" s="3" t="s">
        <v>203</v>
      </c>
      <c r="AQ87">
        <v>100</v>
      </c>
    </row>
    <row r="88" spans="1:46" x14ac:dyDescent="0.3">
      <c r="A88" s="1">
        <v>87</v>
      </c>
      <c r="B88" s="1" t="s">
        <v>61</v>
      </c>
      <c r="C88" s="1" t="s">
        <v>44</v>
      </c>
      <c r="D88" t="str">
        <f>_xlfn.CONCAT(Table1[[#This Row],[Frist_Name ]]," ",Table1[[#This Row],[Last_Name]])</f>
        <v>Reyansh Verma</v>
      </c>
      <c r="E88" s="1">
        <v>16</v>
      </c>
      <c r="F88" s="1" t="s">
        <v>19</v>
      </c>
      <c r="G88" s="1">
        <v>12</v>
      </c>
      <c r="H88" s="1" t="s">
        <v>34</v>
      </c>
      <c r="I88" s="1">
        <v>84</v>
      </c>
      <c r="J88" s="1">
        <v>78</v>
      </c>
      <c r="K88" s="1">
        <v>69</v>
      </c>
      <c r="L88" s="1">
        <v>74</v>
      </c>
      <c r="M88" s="1">
        <v>77</v>
      </c>
      <c r="N88" s="1">
        <v>76</v>
      </c>
      <c r="O88" s="1">
        <v>14</v>
      </c>
      <c r="P88" s="1" t="s">
        <v>21</v>
      </c>
      <c r="Q88" s="1" t="s">
        <v>22</v>
      </c>
      <c r="R88" s="1" t="s">
        <v>23</v>
      </c>
      <c r="S88" s="1">
        <v>73</v>
      </c>
      <c r="T88" s="1" t="s">
        <v>29</v>
      </c>
      <c r="U88" s="1" t="s">
        <v>24</v>
      </c>
      <c r="W88">
        <f>(Table1[[#This Row],[Assignments Avg]]*0.1)+(Table1[[#This Row],[Midterm Score]]*0.3)+(Table1[[#This Row],[Final Exam Score]]*0.45)+(Table1[[#This Row],[Project Score]]*0.1)</f>
        <v>69.5</v>
      </c>
      <c r="X88" s="1" t="str">
        <f>IF(OR(Table1[[#This Row],[Attendance %]]&lt;57,Table1[[#This Row],[Final Score]]&lt;45),"At-Risk","Ok")</f>
        <v>Ok</v>
      </c>
      <c r="Y88" s="1" t="str">
        <f>IF(Table1[[#This Row],[Study Hours]]&lt;5,"Low Study","Normal")</f>
        <v>Normal</v>
      </c>
      <c r="Z88" s="1">
        <f>Table1[[#This Row],[Final Exam Score]]-Table1[[#This Row],[Midterm Score]]</f>
        <v>5</v>
      </c>
      <c r="AA88" s="1" t="str">
        <f>IF(Table1[[#This Row],[Final Score]]&gt;=80,"A",IF(Table1[[#This Row],[Final Score]]&gt;=70,"B",IF(Table1[[#This Row],[Final Score]]&gt;=60,"C",IF(Table1[[#This Row],[Final Score]]&gt;=50,"D","F"))))</f>
        <v>B</v>
      </c>
      <c r="AB88" s="1">
        <f>Table1[[#This Row],[Final Score]]+5</f>
        <v>78</v>
      </c>
      <c r="AC88" s="1" t="str">
        <f>IF(Table1[[#This Row],[Final Score]]&gt;=40,"Pass","Fail")</f>
        <v>Pass</v>
      </c>
      <c r="AD88" t="str">
        <f>IF(OR(Table1[[#This Row],[Final Score]]&gt;=80,Table1[[#This Row],[Attendance %]]&gt;=90),"High Performer","normal")</f>
        <v>normal</v>
      </c>
      <c r="AE88" s="1" t="str">
        <f>IF(Table1[[#This Row],[Gender]]="Male","Boy","Girl")</f>
        <v>Boy</v>
      </c>
      <c r="AF88" s="1" t="str">
        <f>IF(Table1[[#This Row],[Final Score]]&gt;90,"Certificate","No Allow Certificate")</f>
        <v>No Allow Certificate</v>
      </c>
      <c r="AG88" s="1" t="str">
        <f>IF(Table1[[#This Row],[Extracurricular]]="Yes","Active","Not Active")</f>
        <v>Active</v>
      </c>
      <c r="AH88" s="1" t="str">
        <f>IF(Table1[[#This Row],[Parent Education]]="Graduate","Educated_Parent", "Other")</f>
        <v>Educated_Parent</v>
      </c>
      <c r="AI88" s="1" t="str">
        <f>IF(Table1[[#This Row],[Assignments Avg]]&lt;70,"Need Practice","Ok")</f>
        <v>Ok</v>
      </c>
      <c r="AJ88" s="1" t="str">
        <f>Table1[[#This Row],[Frist_Name ]]&amp;" -"&amp;Table1[[#This Row],[Class]]</f>
        <v>Reyansh -12</v>
      </c>
      <c r="AK88" s="1" t="str">
        <f>RIGHT(Table1[[#This Row],[Full Name ]],LEN(Table1[[#This Row],[Full Name ]])-SEARCH(" ",Table1[[#This Row],[Full Name ]]))</f>
        <v>Verma</v>
      </c>
      <c r="AL88" s="1" t="str">
        <f>LEFT(Table1[[#This Row],[Full Name ]],SEARCH(" ",Table1[[#This Row],[Full Name ]]))</f>
        <v xml:space="preserve">Reyansh </v>
      </c>
      <c r="AM88" s="1">
        <f>LEN(Table1[[#This Row],[Frist_Name ]])</f>
        <v>7</v>
      </c>
      <c r="AN88" s="1"/>
      <c r="AO88" s="1"/>
    </row>
    <row r="89" spans="1:46" x14ac:dyDescent="0.3">
      <c r="A89" s="1">
        <v>88</v>
      </c>
      <c r="B89" s="1" t="s">
        <v>169</v>
      </c>
      <c r="C89" s="1" t="s">
        <v>82</v>
      </c>
      <c r="D89" t="str">
        <f>_xlfn.CONCAT(Table1[[#This Row],[Frist_Name ]]," ",Table1[[#This Row],[Last_Name]])</f>
        <v>Meher Jain</v>
      </c>
      <c r="E89" s="1">
        <v>15</v>
      </c>
      <c r="F89" s="1" t="s">
        <v>25</v>
      </c>
      <c r="G89" s="1">
        <v>10</v>
      </c>
      <c r="H89" s="1" t="s">
        <v>34</v>
      </c>
      <c r="I89" s="1">
        <v>91</v>
      </c>
      <c r="J89" s="1">
        <v>88</v>
      </c>
      <c r="K89" s="1">
        <v>83</v>
      </c>
      <c r="L89" s="1">
        <v>89</v>
      </c>
      <c r="M89" s="1">
        <v>90</v>
      </c>
      <c r="N89" s="1">
        <v>91</v>
      </c>
      <c r="O89" s="1">
        <v>20</v>
      </c>
      <c r="P89" s="1" t="s">
        <v>21</v>
      </c>
      <c r="Q89" s="1" t="s">
        <v>22</v>
      </c>
      <c r="R89" s="1" t="s">
        <v>27</v>
      </c>
      <c r="S89" s="1">
        <v>88</v>
      </c>
      <c r="T89" s="1" t="s">
        <v>20</v>
      </c>
      <c r="U89" s="1" t="s">
        <v>24</v>
      </c>
      <c r="W89">
        <f>(Table1[[#This Row],[Assignments Avg]]*0.1)+(Table1[[#This Row],[Midterm Score]]*0.3)+(Table1[[#This Row],[Final Exam Score]]*0.45)+(Table1[[#This Row],[Project Score]]*0.1)</f>
        <v>82.75</v>
      </c>
      <c r="X89" s="1" t="str">
        <f>IF(OR(Table1[[#This Row],[Attendance %]]&lt;57,Table1[[#This Row],[Final Score]]&lt;45),"At-Risk","Ok")</f>
        <v>Ok</v>
      </c>
      <c r="Y89" s="1" t="str">
        <f>IF(Table1[[#This Row],[Study Hours]]&lt;5,"Low Study","Normal")</f>
        <v>Normal</v>
      </c>
      <c r="Z89" s="1">
        <f>Table1[[#This Row],[Final Exam Score]]-Table1[[#This Row],[Midterm Score]]</f>
        <v>6</v>
      </c>
      <c r="AA89" s="1" t="str">
        <f>IF(Table1[[#This Row],[Final Score]]&gt;=80,"A",IF(Table1[[#This Row],[Final Score]]&gt;=70,"B",IF(Table1[[#This Row],[Final Score]]&gt;=60,"C",IF(Table1[[#This Row],[Final Score]]&gt;=50,"D","F"))))</f>
        <v>A</v>
      </c>
      <c r="AB89" s="1">
        <f>Table1[[#This Row],[Final Score]]+5</f>
        <v>93</v>
      </c>
      <c r="AC89" s="1" t="str">
        <f>IF(Table1[[#This Row],[Final Score]]&gt;=40,"Pass","Fail")</f>
        <v>Pass</v>
      </c>
      <c r="AD89" t="str">
        <f>IF(OR(Table1[[#This Row],[Final Score]]&gt;=80,Table1[[#This Row],[Attendance %]]&gt;=90),"High Performer","normal")</f>
        <v>High Performer</v>
      </c>
      <c r="AE89" s="1" t="str">
        <f>IF(Table1[[#This Row],[Gender]]="Male","Boy","Girl")</f>
        <v>Girl</v>
      </c>
      <c r="AF89" s="1" t="str">
        <f>IF(Table1[[#This Row],[Final Score]]&gt;90,"Certificate","No Allow Certificate")</f>
        <v>No Allow Certificate</v>
      </c>
      <c r="AG89" s="1" t="str">
        <f>IF(Table1[[#This Row],[Extracurricular]]="Yes","Active","Not Active")</f>
        <v>Active</v>
      </c>
      <c r="AH89" s="1" t="str">
        <f>IF(Table1[[#This Row],[Parent Education]]="Graduate","Educated_Parent", "Other")</f>
        <v>Educated_Parent</v>
      </c>
      <c r="AI89" s="1" t="str">
        <f>IF(Table1[[#This Row],[Assignments Avg]]&lt;70,"Need Practice","Ok")</f>
        <v>Ok</v>
      </c>
      <c r="AJ89" s="1" t="str">
        <f>Table1[[#This Row],[Frist_Name ]]&amp;" -"&amp;Table1[[#This Row],[Class]]</f>
        <v>Meher -10</v>
      </c>
      <c r="AK89" s="1" t="str">
        <f>RIGHT(Table1[[#This Row],[Full Name ]],LEN(Table1[[#This Row],[Full Name ]])-SEARCH(" ",Table1[[#This Row],[Full Name ]]))</f>
        <v>Jain</v>
      </c>
      <c r="AL89" s="1" t="str">
        <f>LEFT(Table1[[#This Row],[Full Name ]],SEARCH(" ",Table1[[#This Row],[Full Name ]]))</f>
        <v xml:space="preserve">Meher </v>
      </c>
      <c r="AM89" s="1">
        <f>LEN(Table1[[#This Row],[Frist_Name ]])</f>
        <v>5</v>
      </c>
      <c r="AN89" s="1"/>
      <c r="AO89" s="1"/>
    </row>
    <row r="90" spans="1:46" x14ac:dyDescent="0.3">
      <c r="A90" s="1">
        <v>89</v>
      </c>
      <c r="B90" s="1" t="s">
        <v>170</v>
      </c>
      <c r="C90" s="1" t="s">
        <v>62</v>
      </c>
      <c r="D90" t="str">
        <f>_xlfn.CONCAT(Table1[[#This Row],[Frist_Name ]]," ",Table1[[#This Row],[Last_Name]])</f>
        <v>Vihaan Kapoor</v>
      </c>
      <c r="E90" s="1">
        <v>16</v>
      </c>
      <c r="F90" s="1" t="s">
        <v>19</v>
      </c>
      <c r="G90" s="1">
        <v>10</v>
      </c>
      <c r="H90" s="1" t="s">
        <v>20</v>
      </c>
      <c r="I90" s="1">
        <v>72</v>
      </c>
      <c r="J90" s="1">
        <v>65</v>
      </c>
      <c r="K90" s="1">
        <v>48</v>
      </c>
      <c r="L90" s="1">
        <v>45</v>
      </c>
      <c r="M90" s="1">
        <v>55</v>
      </c>
      <c r="N90" s="1">
        <v>57</v>
      </c>
      <c r="O90" s="1">
        <v>7</v>
      </c>
      <c r="P90" s="1" t="s">
        <v>30</v>
      </c>
      <c r="Q90" s="1" t="s">
        <v>31</v>
      </c>
      <c r="R90" s="1" t="s">
        <v>33</v>
      </c>
      <c r="S90" s="1">
        <v>50</v>
      </c>
      <c r="T90" s="1" t="s">
        <v>34</v>
      </c>
      <c r="U90" s="1" t="s">
        <v>35</v>
      </c>
      <c r="W90">
        <f>(Table1[[#This Row],[Assignments Avg]]*0.1)+(Table1[[#This Row],[Midterm Score]]*0.3)+(Table1[[#This Row],[Final Exam Score]]*0.45)+(Table1[[#This Row],[Project Score]]*0.1)</f>
        <v>46.65</v>
      </c>
      <c r="X90" s="1" t="str">
        <f>IF(OR(Table1[[#This Row],[Attendance %]]&lt;57,Table1[[#This Row],[Final Score]]&lt;45),"At-Risk","Ok")</f>
        <v>Ok</v>
      </c>
      <c r="Y90" s="1" t="str">
        <f>IF(Table1[[#This Row],[Study Hours]]&lt;5,"Low Study","Normal")</f>
        <v>Normal</v>
      </c>
      <c r="Z90" s="1">
        <f>Table1[[#This Row],[Final Exam Score]]-Table1[[#This Row],[Midterm Score]]</f>
        <v>-3</v>
      </c>
      <c r="AA90" s="1" t="str">
        <f>IF(Table1[[#This Row],[Final Score]]&gt;=80,"A",IF(Table1[[#This Row],[Final Score]]&gt;=70,"B",IF(Table1[[#This Row],[Final Score]]&gt;=60,"C",IF(Table1[[#This Row],[Final Score]]&gt;=50,"D","F"))))</f>
        <v>D</v>
      </c>
      <c r="AB90" s="1">
        <f>Table1[[#This Row],[Final Score]]+5</f>
        <v>55</v>
      </c>
      <c r="AC90" s="1" t="str">
        <f>IF(Table1[[#This Row],[Final Score]]&gt;=40,"Pass","Fail")</f>
        <v>Pass</v>
      </c>
      <c r="AD90" t="str">
        <f>IF(OR(Table1[[#This Row],[Final Score]]&gt;=80,Table1[[#This Row],[Attendance %]]&gt;=90),"High Performer","normal")</f>
        <v>normal</v>
      </c>
      <c r="AE90" s="1" t="str">
        <f>IF(Table1[[#This Row],[Gender]]="Male","Boy","Girl")</f>
        <v>Boy</v>
      </c>
      <c r="AF90" s="1" t="str">
        <f>IF(Table1[[#This Row],[Final Score]]&gt;90,"Certificate","No Allow Certificate")</f>
        <v>No Allow Certificate</v>
      </c>
      <c r="AG90" s="1" t="str">
        <f>IF(Table1[[#This Row],[Extracurricular]]="Yes","Active","Not Active")</f>
        <v>Not Active</v>
      </c>
      <c r="AH90" s="1" t="str">
        <f>IF(Table1[[#This Row],[Parent Education]]="Graduate","Educated_Parent", "Other")</f>
        <v>Other</v>
      </c>
      <c r="AI90" s="1" t="str">
        <f>IF(Table1[[#This Row],[Assignments Avg]]&lt;70,"Need Practice","Ok")</f>
        <v>Need Practice</v>
      </c>
      <c r="AJ90" s="1" t="str">
        <f>Table1[[#This Row],[Frist_Name ]]&amp;" -"&amp;Table1[[#This Row],[Class]]</f>
        <v>Vihaan -10</v>
      </c>
      <c r="AK90" s="1" t="str">
        <f>RIGHT(Table1[[#This Row],[Full Name ]],LEN(Table1[[#This Row],[Full Name ]])-SEARCH(" ",Table1[[#This Row],[Full Name ]]))</f>
        <v>Kapoor</v>
      </c>
      <c r="AL90" s="1" t="str">
        <f>LEFT(Table1[[#This Row],[Full Name ]],SEARCH(" ",Table1[[#This Row],[Full Name ]]))</f>
        <v xml:space="preserve">Vihaan </v>
      </c>
      <c r="AM90" s="1">
        <f>LEN(Table1[[#This Row],[Frist_Name ]])</f>
        <v>6</v>
      </c>
      <c r="AN90" s="1"/>
      <c r="AO90" s="1"/>
    </row>
    <row r="91" spans="1:46" x14ac:dyDescent="0.3">
      <c r="A91" s="1">
        <v>90</v>
      </c>
      <c r="B91" s="1" t="s">
        <v>83</v>
      </c>
      <c r="C91" s="1" t="s">
        <v>156</v>
      </c>
      <c r="D91" t="str">
        <f>_xlfn.CONCAT(Table1[[#This Row],[Frist_Name ]]," ",Table1[[#This Row],[Last_Name]])</f>
        <v>Anvi Mehra</v>
      </c>
      <c r="E91" s="1">
        <v>15</v>
      </c>
      <c r="F91" s="1" t="s">
        <v>25</v>
      </c>
      <c r="G91" s="1">
        <v>11</v>
      </c>
      <c r="H91" s="1" t="s">
        <v>20</v>
      </c>
      <c r="I91" s="1">
        <v>94</v>
      </c>
      <c r="J91" s="1">
        <v>91</v>
      </c>
      <c r="K91" s="1">
        <v>88</v>
      </c>
      <c r="L91" s="1">
        <v>92</v>
      </c>
      <c r="M91" s="1">
        <v>93</v>
      </c>
      <c r="N91" s="1">
        <v>94</v>
      </c>
      <c r="O91" s="1">
        <v>22</v>
      </c>
      <c r="P91" s="1" t="s">
        <v>21</v>
      </c>
      <c r="Q91" s="1" t="s">
        <v>26</v>
      </c>
      <c r="R91" s="1" t="s">
        <v>27</v>
      </c>
      <c r="S91" s="1">
        <v>92</v>
      </c>
      <c r="T91" s="1" t="s">
        <v>28</v>
      </c>
      <c r="U91" s="1" t="s">
        <v>24</v>
      </c>
      <c r="W91">
        <f>(Table1[[#This Row],[Assignments Avg]]*0.1)+(Table1[[#This Row],[Midterm Score]]*0.3)+(Table1[[#This Row],[Final Exam Score]]*0.45)+(Table1[[#This Row],[Project Score]]*0.1)</f>
        <v>86.2</v>
      </c>
      <c r="X91" s="1" t="str">
        <f>IF(OR(Table1[[#This Row],[Attendance %]]&lt;57,Table1[[#This Row],[Final Score]]&lt;45),"At-Risk","Ok")</f>
        <v>Ok</v>
      </c>
      <c r="Y91" s="1" t="str">
        <f>IF(Table1[[#This Row],[Study Hours]]&lt;5,"Low Study","Normal")</f>
        <v>Normal</v>
      </c>
      <c r="Z91" s="1">
        <f>Table1[[#This Row],[Final Exam Score]]-Table1[[#This Row],[Midterm Score]]</f>
        <v>4</v>
      </c>
      <c r="AA91" s="1" t="str">
        <f>IF(Table1[[#This Row],[Final Score]]&gt;=80,"A",IF(Table1[[#This Row],[Final Score]]&gt;=70,"B",IF(Table1[[#This Row],[Final Score]]&gt;=60,"C",IF(Table1[[#This Row],[Final Score]]&gt;=50,"D","F"))))</f>
        <v>A</v>
      </c>
      <c r="AB91" s="1">
        <f>Table1[[#This Row],[Final Score]]+5</f>
        <v>97</v>
      </c>
      <c r="AC91" s="1" t="str">
        <f>IF(Table1[[#This Row],[Final Score]]&gt;=40,"Pass","Fail")</f>
        <v>Pass</v>
      </c>
      <c r="AD91" t="str">
        <f>IF(OR(Table1[[#This Row],[Final Score]]&gt;=80,Table1[[#This Row],[Attendance %]]&gt;=90),"High Performer","normal")</f>
        <v>High Performer</v>
      </c>
      <c r="AE91" s="1" t="str">
        <f>IF(Table1[[#This Row],[Gender]]="Male","Boy","Girl")</f>
        <v>Girl</v>
      </c>
      <c r="AF91" s="1" t="str">
        <f>IF(Table1[[#This Row],[Final Score]]&gt;90,"Certificate","No Allow Certificate")</f>
        <v>Certificate</v>
      </c>
      <c r="AG91" s="1" t="str">
        <f>IF(Table1[[#This Row],[Extracurricular]]="Yes","Active","Not Active")</f>
        <v>Active</v>
      </c>
      <c r="AH91" s="1" t="str">
        <f>IF(Table1[[#This Row],[Parent Education]]="Graduate","Educated_Parent", "Other")</f>
        <v>Other</v>
      </c>
      <c r="AI91" s="1" t="str">
        <f>IF(Table1[[#This Row],[Assignments Avg]]&lt;70,"Need Practice","Ok")</f>
        <v>Ok</v>
      </c>
      <c r="AJ91" s="1" t="str">
        <f>Table1[[#This Row],[Frist_Name ]]&amp;" -"&amp;Table1[[#This Row],[Class]]</f>
        <v>Anvi -11</v>
      </c>
      <c r="AK91" s="1" t="str">
        <f>RIGHT(Table1[[#This Row],[Full Name ]],LEN(Table1[[#This Row],[Full Name ]])-SEARCH(" ",Table1[[#This Row],[Full Name ]]))</f>
        <v>Mehra</v>
      </c>
      <c r="AL91" s="1" t="str">
        <f>LEFT(Table1[[#This Row],[Full Name ]],SEARCH(" ",Table1[[#This Row],[Full Name ]]))</f>
        <v xml:space="preserve">Anvi </v>
      </c>
      <c r="AM91" s="1">
        <f>LEN(Table1[[#This Row],[Frist_Name ]])</f>
        <v>4</v>
      </c>
      <c r="AN91" s="1"/>
      <c r="AO91" s="1"/>
    </row>
    <row r="92" spans="1:46" x14ac:dyDescent="0.3">
      <c r="A92" s="1">
        <v>91</v>
      </c>
      <c r="B92" s="1" t="s">
        <v>171</v>
      </c>
      <c r="C92" s="1" t="s">
        <v>72</v>
      </c>
      <c r="D92" t="str">
        <f>_xlfn.CONCAT(Table1[[#This Row],[Frist_Name ]]," ",Table1[[#This Row],[Last_Name]])</f>
        <v>Shlok Iyer</v>
      </c>
      <c r="E92" s="1">
        <v>16</v>
      </c>
      <c r="F92" s="1" t="s">
        <v>19</v>
      </c>
      <c r="G92" s="1">
        <v>10</v>
      </c>
      <c r="H92" s="1" t="s">
        <v>29</v>
      </c>
      <c r="I92" s="1">
        <v>87</v>
      </c>
      <c r="J92" s="1">
        <v>81</v>
      </c>
      <c r="K92" s="1">
        <v>72</v>
      </c>
      <c r="L92" s="1">
        <v>77</v>
      </c>
      <c r="M92" s="1">
        <v>79</v>
      </c>
      <c r="N92" s="1">
        <v>80</v>
      </c>
      <c r="O92" s="1">
        <v>15</v>
      </c>
      <c r="P92" s="1" t="s">
        <v>21</v>
      </c>
      <c r="Q92" s="1" t="s">
        <v>22</v>
      </c>
      <c r="R92" s="1" t="s">
        <v>23</v>
      </c>
      <c r="S92" s="1">
        <v>77</v>
      </c>
      <c r="T92" s="1" t="s">
        <v>29</v>
      </c>
      <c r="U92" s="1" t="s">
        <v>24</v>
      </c>
      <c r="W92">
        <f>(Table1[[#This Row],[Assignments Avg]]*0.1)+(Table1[[#This Row],[Midterm Score]]*0.3)+(Table1[[#This Row],[Final Exam Score]]*0.45)+(Table1[[#This Row],[Project Score]]*0.1)</f>
        <v>72.25</v>
      </c>
      <c r="X92" s="1" t="str">
        <f>IF(OR(Table1[[#This Row],[Attendance %]]&lt;57,Table1[[#This Row],[Final Score]]&lt;45),"At-Risk","Ok")</f>
        <v>Ok</v>
      </c>
      <c r="Y92" s="1" t="str">
        <f>IF(Table1[[#This Row],[Study Hours]]&lt;5,"Low Study","Normal")</f>
        <v>Normal</v>
      </c>
      <c r="Z92" s="1">
        <f>Table1[[#This Row],[Final Exam Score]]-Table1[[#This Row],[Midterm Score]]</f>
        <v>5</v>
      </c>
      <c r="AA92" s="1" t="str">
        <f>IF(Table1[[#This Row],[Final Score]]&gt;=80,"A",IF(Table1[[#This Row],[Final Score]]&gt;=70,"B",IF(Table1[[#This Row],[Final Score]]&gt;=60,"C",IF(Table1[[#This Row],[Final Score]]&gt;=50,"D","F"))))</f>
        <v>B</v>
      </c>
      <c r="AB92" s="1">
        <f>Table1[[#This Row],[Final Score]]+5</f>
        <v>82</v>
      </c>
      <c r="AC92" s="1" t="str">
        <f>IF(Table1[[#This Row],[Final Score]]&gt;=40,"Pass","Fail")</f>
        <v>Pass</v>
      </c>
      <c r="AD92" t="str">
        <f>IF(OR(Table1[[#This Row],[Final Score]]&gt;=80,Table1[[#This Row],[Attendance %]]&gt;=90),"High Performer","normal")</f>
        <v>normal</v>
      </c>
      <c r="AE92" s="1" t="str">
        <f>IF(Table1[[#This Row],[Gender]]="Male","Boy","Girl")</f>
        <v>Boy</v>
      </c>
      <c r="AF92" s="1" t="str">
        <f>IF(Table1[[#This Row],[Final Score]]&gt;90,"Certificate","No Allow Certificate")</f>
        <v>No Allow Certificate</v>
      </c>
      <c r="AG92" s="1" t="str">
        <f>IF(Table1[[#This Row],[Extracurricular]]="Yes","Active","Not Active")</f>
        <v>Active</v>
      </c>
      <c r="AH92" s="1" t="str">
        <f>IF(Table1[[#This Row],[Parent Education]]="Graduate","Educated_Parent", "Other")</f>
        <v>Educated_Parent</v>
      </c>
      <c r="AI92" s="1" t="str">
        <f>IF(Table1[[#This Row],[Assignments Avg]]&lt;70,"Need Practice","Ok")</f>
        <v>Ok</v>
      </c>
      <c r="AJ92" s="1" t="str">
        <f>Table1[[#This Row],[Frist_Name ]]&amp;" -"&amp;Table1[[#This Row],[Class]]</f>
        <v>Shlok -10</v>
      </c>
      <c r="AK92" s="1" t="str">
        <f>RIGHT(Table1[[#This Row],[Full Name ]],LEN(Table1[[#This Row],[Full Name ]])-SEARCH(" ",Table1[[#This Row],[Full Name ]]))</f>
        <v>Iyer</v>
      </c>
      <c r="AL92" s="1" t="str">
        <f>LEFT(Table1[[#This Row],[Full Name ]],SEARCH(" ",Table1[[#This Row],[Full Name ]]))</f>
        <v xml:space="preserve">Shlok </v>
      </c>
      <c r="AM92" s="1">
        <f>LEN(Table1[[#This Row],[Frist_Name ]])</f>
        <v>5</v>
      </c>
      <c r="AN92" s="1"/>
      <c r="AO92" s="1"/>
    </row>
    <row r="93" spans="1:46" x14ac:dyDescent="0.3">
      <c r="A93" s="1">
        <v>92</v>
      </c>
      <c r="B93" s="1" t="s">
        <v>172</v>
      </c>
      <c r="C93" s="1" t="s">
        <v>173</v>
      </c>
      <c r="D93" t="str">
        <f>_xlfn.CONCAT(Table1[[#This Row],[Frist_Name ]]," ",Table1[[#This Row],[Last_Name]])</f>
        <v>Ruhi Banerjee</v>
      </c>
      <c r="E93" s="1">
        <v>15</v>
      </c>
      <c r="F93" s="1" t="s">
        <v>25</v>
      </c>
      <c r="G93" s="1">
        <v>10</v>
      </c>
      <c r="H93" s="1" t="s">
        <v>29</v>
      </c>
      <c r="I93" s="1">
        <v>79</v>
      </c>
      <c r="J93" s="1">
        <v>73</v>
      </c>
      <c r="K93" s="1">
        <v>57</v>
      </c>
      <c r="L93" s="1">
        <v>61</v>
      </c>
      <c r="M93" s="1">
        <v>65</v>
      </c>
      <c r="N93" s="1">
        <v>68</v>
      </c>
      <c r="O93" s="1">
        <v>10</v>
      </c>
      <c r="P93" s="1" t="s">
        <v>30</v>
      </c>
      <c r="Q93" s="1" t="s">
        <v>22</v>
      </c>
      <c r="R93" s="1" t="s">
        <v>23</v>
      </c>
      <c r="S93" s="1">
        <v>63</v>
      </c>
      <c r="T93" s="1" t="s">
        <v>32</v>
      </c>
      <c r="U93" s="1" t="s">
        <v>24</v>
      </c>
      <c r="W93">
        <f>(Table1[[#This Row],[Assignments Avg]]*0.1)+(Table1[[#This Row],[Midterm Score]]*0.3)+(Table1[[#This Row],[Final Exam Score]]*0.45)+(Table1[[#This Row],[Project Score]]*0.1)</f>
        <v>58.349999999999994</v>
      </c>
      <c r="X93" s="1" t="str">
        <f>IF(OR(Table1[[#This Row],[Attendance %]]&lt;57,Table1[[#This Row],[Final Score]]&lt;45),"At-Risk","Ok")</f>
        <v>Ok</v>
      </c>
      <c r="Y93" s="1" t="str">
        <f>IF(Table1[[#This Row],[Study Hours]]&lt;5,"Low Study","Normal")</f>
        <v>Normal</v>
      </c>
      <c r="Z93" s="1">
        <f>Table1[[#This Row],[Final Exam Score]]-Table1[[#This Row],[Midterm Score]]</f>
        <v>4</v>
      </c>
      <c r="AA93" s="1" t="str">
        <f>IF(Table1[[#This Row],[Final Score]]&gt;=80,"A",IF(Table1[[#This Row],[Final Score]]&gt;=70,"B",IF(Table1[[#This Row],[Final Score]]&gt;=60,"C",IF(Table1[[#This Row],[Final Score]]&gt;=50,"D","F"))))</f>
        <v>C</v>
      </c>
      <c r="AB93" s="1">
        <f>Table1[[#This Row],[Final Score]]+5</f>
        <v>68</v>
      </c>
      <c r="AC93" s="1" t="str">
        <f>IF(Table1[[#This Row],[Final Score]]&gt;=40,"Pass","Fail")</f>
        <v>Pass</v>
      </c>
      <c r="AD93" t="str">
        <f>IF(OR(Table1[[#This Row],[Final Score]]&gt;=80,Table1[[#This Row],[Attendance %]]&gt;=90),"High Performer","normal")</f>
        <v>normal</v>
      </c>
      <c r="AE93" s="1" t="str">
        <f>IF(Table1[[#This Row],[Gender]]="Male","Boy","Girl")</f>
        <v>Girl</v>
      </c>
      <c r="AF93" s="1" t="str">
        <f>IF(Table1[[#This Row],[Final Score]]&gt;90,"Certificate","No Allow Certificate")</f>
        <v>No Allow Certificate</v>
      </c>
      <c r="AG93" s="1" t="str">
        <f>IF(Table1[[#This Row],[Extracurricular]]="Yes","Active","Not Active")</f>
        <v>Not Active</v>
      </c>
      <c r="AH93" s="1" t="str">
        <f>IF(Table1[[#This Row],[Parent Education]]="Graduate","Educated_Parent", "Other")</f>
        <v>Educated_Parent</v>
      </c>
      <c r="AI93" s="1" t="str">
        <f>IF(Table1[[#This Row],[Assignments Avg]]&lt;70,"Need Practice","Ok")</f>
        <v>Ok</v>
      </c>
      <c r="AJ93" s="1" t="str">
        <f>Table1[[#This Row],[Frist_Name ]]&amp;" -"&amp;Table1[[#This Row],[Class]]</f>
        <v>Ruhi -10</v>
      </c>
      <c r="AK93" s="1" t="str">
        <f>RIGHT(Table1[[#This Row],[Full Name ]],LEN(Table1[[#This Row],[Full Name ]])-SEARCH(" ",Table1[[#This Row],[Full Name ]]))</f>
        <v>Banerjee</v>
      </c>
      <c r="AL93" s="1" t="str">
        <f>LEFT(Table1[[#This Row],[Full Name ]],SEARCH(" ",Table1[[#This Row],[Full Name ]]))</f>
        <v xml:space="preserve">Ruhi </v>
      </c>
      <c r="AM93" s="1">
        <f>LEN(Table1[[#This Row],[Frist_Name ]])</f>
        <v>4</v>
      </c>
      <c r="AN93" s="1"/>
      <c r="AO93" s="1"/>
    </row>
    <row r="94" spans="1:46" x14ac:dyDescent="0.3">
      <c r="A94" s="1">
        <v>93</v>
      </c>
      <c r="B94" s="1" t="s">
        <v>174</v>
      </c>
      <c r="C94" s="1" t="s">
        <v>107</v>
      </c>
      <c r="D94" t="str">
        <f>_xlfn.CONCAT(Table1[[#This Row],[Frist_Name ]]," ",Table1[[#This Row],[Last_Name]])</f>
        <v>Ayaan Khan</v>
      </c>
      <c r="E94" s="1">
        <v>16</v>
      </c>
      <c r="F94" s="1" t="s">
        <v>19</v>
      </c>
      <c r="G94" s="1">
        <v>10</v>
      </c>
      <c r="H94" s="1" t="s">
        <v>32</v>
      </c>
      <c r="I94" s="1">
        <v>65</v>
      </c>
      <c r="J94" s="1">
        <v>57</v>
      </c>
      <c r="K94" s="1">
        <v>39</v>
      </c>
      <c r="L94" s="1">
        <v>35</v>
      </c>
      <c r="M94" s="1">
        <v>46</v>
      </c>
      <c r="N94" s="1">
        <v>44</v>
      </c>
      <c r="O94" s="1">
        <v>5</v>
      </c>
      <c r="P94" s="1" t="s">
        <v>30</v>
      </c>
      <c r="Q94" s="1" t="s">
        <v>31</v>
      </c>
      <c r="R94" s="1" t="s">
        <v>33</v>
      </c>
      <c r="S94" s="1">
        <v>40</v>
      </c>
      <c r="T94" s="1" t="s">
        <v>34</v>
      </c>
      <c r="U94" s="1" t="s">
        <v>35</v>
      </c>
      <c r="W94">
        <f>(Table1[[#This Row],[Assignments Avg]]*0.1)+(Table1[[#This Row],[Midterm Score]]*0.3)+(Table1[[#This Row],[Final Exam Score]]*0.45)+(Table1[[#This Row],[Project Score]]*0.1)</f>
        <v>37.75</v>
      </c>
      <c r="X94" s="1" t="str">
        <f>IF(OR(Table1[[#This Row],[Attendance %]]&lt;57,Table1[[#This Row],[Final Score]]&lt;45),"At-Risk","Ok")</f>
        <v>At-Risk</v>
      </c>
      <c r="Y94" s="1" t="str">
        <f>IF(Table1[[#This Row],[Study Hours]]&lt;5,"Low Study","Normal")</f>
        <v>Normal</v>
      </c>
      <c r="Z94" s="1">
        <f>Table1[[#This Row],[Final Exam Score]]-Table1[[#This Row],[Midterm Score]]</f>
        <v>-4</v>
      </c>
      <c r="AA94" s="1" t="str">
        <f>IF(Table1[[#This Row],[Final Score]]&gt;=80,"A",IF(Table1[[#This Row],[Final Score]]&gt;=70,"B",IF(Table1[[#This Row],[Final Score]]&gt;=60,"C",IF(Table1[[#This Row],[Final Score]]&gt;=50,"D","F"))))</f>
        <v>F</v>
      </c>
      <c r="AB94" s="1">
        <f>Table1[[#This Row],[Final Score]]+5</f>
        <v>45</v>
      </c>
      <c r="AC94" s="1" t="str">
        <f>IF(Table1[[#This Row],[Final Score]]&gt;=40,"Pass","Fail")</f>
        <v>Pass</v>
      </c>
      <c r="AD94" t="str">
        <f>IF(OR(Table1[[#This Row],[Final Score]]&gt;=80,Table1[[#This Row],[Attendance %]]&gt;=90),"High Performer","normal")</f>
        <v>normal</v>
      </c>
      <c r="AE94" s="1" t="str">
        <f>IF(Table1[[#This Row],[Gender]]="Male","Boy","Girl")</f>
        <v>Boy</v>
      </c>
      <c r="AF94" s="1" t="str">
        <f>IF(Table1[[#This Row],[Final Score]]&gt;90,"Certificate","No Allow Certificate")</f>
        <v>No Allow Certificate</v>
      </c>
      <c r="AG94" s="1" t="str">
        <f>IF(Table1[[#This Row],[Extracurricular]]="Yes","Active","Not Active")</f>
        <v>Not Active</v>
      </c>
      <c r="AH94" s="1" t="str">
        <f>IF(Table1[[#This Row],[Parent Education]]="Graduate","Educated_Parent", "Other")</f>
        <v>Other</v>
      </c>
      <c r="AI94" s="1" t="str">
        <f>IF(Table1[[#This Row],[Assignments Avg]]&lt;70,"Need Practice","Ok")</f>
        <v>Need Practice</v>
      </c>
      <c r="AJ94" s="1" t="str">
        <f>Table1[[#This Row],[Frist_Name ]]&amp;" -"&amp;Table1[[#This Row],[Class]]</f>
        <v>Ayaan -10</v>
      </c>
      <c r="AK94" s="1" t="str">
        <f>RIGHT(Table1[[#This Row],[Full Name ]],LEN(Table1[[#This Row],[Full Name ]])-SEARCH(" ",Table1[[#This Row],[Full Name ]]))</f>
        <v>Khan</v>
      </c>
      <c r="AL94" s="1" t="str">
        <f>LEFT(Table1[[#This Row],[Full Name ]],SEARCH(" ",Table1[[#This Row],[Full Name ]]))</f>
        <v xml:space="preserve">Ayaan </v>
      </c>
      <c r="AM94" s="1">
        <f>LEN(Table1[[#This Row],[Frist_Name ]])</f>
        <v>5</v>
      </c>
      <c r="AN94" s="1"/>
      <c r="AO94" s="1"/>
      <c r="AP94" s="5" t="s">
        <v>213</v>
      </c>
      <c r="AQ94" s="5"/>
      <c r="AR94" s="5"/>
      <c r="AS94" s="5"/>
      <c r="AT94" s="5"/>
    </row>
    <row r="95" spans="1:46" x14ac:dyDescent="0.3">
      <c r="A95" s="1">
        <v>94</v>
      </c>
      <c r="B95" s="1" t="s">
        <v>175</v>
      </c>
      <c r="C95" s="1" t="s">
        <v>64</v>
      </c>
      <c r="D95" t="str">
        <f>_xlfn.CONCAT(Table1[[#This Row],[Frist_Name ]]," ",Table1[[#This Row],[Last_Name]])</f>
        <v>Prisha Malhotra</v>
      </c>
      <c r="E95" s="1">
        <v>15</v>
      </c>
      <c r="F95" s="1" t="s">
        <v>25</v>
      </c>
      <c r="G95" s="1">
        <v>10</v>
      </c>
      <c r="H95" s="1" t="s">
        <v>32</v>
      </c>
      <c r="I95" s="1">
        <v>96</v>
      </c>
      <c r="J95" s="1">
        <v>94</v>
      </c>
      <c r="K95" s="1">
        <v>91</v>
      </c>
      <c r="L95" s="1">
        <v>95</v>
      </c>
      <c r="M95" s="1">
        <v>93</v>
      </c>
      <c r="N95" s="1">
        <v>96</v>
      </c>
      <c r="O95" s="1">
        <v>24</v>
      </c>
      <c r="P95" s="1" t="s">
        <v>21</v>
      </c>
      <c r="Q95" s="1" t="s">
        <v>26</v>
      </c>
      <c r="R95" s="1" t="s">
        <v>27</v>
      </c>
      <c r="S95" s="1">
        <v>94</v>
      </c>
      <c r="T95" s="1" t="s">
        <v>28</v>
      </c>
      <c r="U95" s="1" t="s">
        <v>24</v>
      </c>
      <c r="W95">
        <f>(Table1[[#This Row],[Assignments Avg]]*0.1)+(Table1[[#This Row],[Midterm Score]]*0.3)+(Table1[[#This Row],[Final Exam Score]]*0.45)+(Table1[[#This Row],[Project Score]]*0.1)</f>
        <v>88.75</v>
      </c>
      <c r="X95" s="1" t="str">
        <f>IF(OR(Table1[[#This Row],[Attendance %]]&lt;57,Table1[[#This Row],[Final Score]]&lt;45),"At-Risk","Ok")</f>
        <v>Ok</v>
      </c>
      <c r="Y95" s="1" t="str">
        <f>IF(Table1[[#This Row],[Study Hours]]&lt;5,"Low Study","Normal")</f>
        <v>Normal</v>
      </c>
      <c r="Z95" s="1">
        <f>Table1[[#This Row],[Final Exam Score]]-Table1[[#This Row],[Midterm Score]]</f>
        <v>4</v>
      </c>
      <c r="AA95" s="1" t="str">
        <f>IF(Table1[[#This Row],[Final Score]]&gt;=80,"A",IF(Table1[[#This Row],[Final Score]]&gt;=70,"B",IF(Table1[[#This Row],[Final Score]]&gt;=60,"C",IF(Table1[[#This Row],[Final Score]]&gt;=50,"D","F"))))</f>
        <v>A</v>
      </c>
      <c r="AB95" s="1">
        <f>Table1[[#This Row],[Final Score]]+5</f>
        <v>99</v>
      </c>
      <c r="AC95" s="1" t="str">
        <f>IF(Table1[[#This Row],[Final Score]]&gt;=40,"Pass","Fail")</f>
        <v>Pass</v>
      </c>
      <c r="AD95" t="str">
        <f>IF(OR(Table1[[#This Row],[Final Score]]&gt;=80,Table1[[#This Row],[Attendance %]]&gt;=90),"High Performer","normal")</f>
        <v>High Performer</v>
      </c>
      <c r="AE95" s="1" t="str">
        <f>IF(Table1[[#This Row],[Gender]]="Male","Boy","Girl")</f>
        <v>Girl</v>
      </c>
      <c r="AF95" s="1" t="str">
        <f>IF(Table1[[#This Row],[Final Score]]&gt;90,"Certificate","No Allow Certificate")</f>
        <v>Certificate</v>
      </c>
      <c r="AG95" s="1" t="str">
        <f>IF(Table1[[#This Row],[Extracurricular]]="Yes","Active","Not Active")</f>
        <v>Active</v>
      </c>
      <c r="AH95" s="1" t="str">
        <f>IF(Table1[[#This Row],[Parent Education]]="Graduate","Educated_Parent", "Other")</f>
        <v>Other</v>
      </c>
      <c r="AI95" s="1" t="str">
        <f>IF(Table1[[#This Row],[Assignments Avg]]&lt;70,"Need Practice","Ok")</f>
        <v>Ok</v>
      </c>
      <c r="AJ95" s="1" t="str">
        <f>Table1[[#This Row],[Frist_Name ]]&amp;" -"&amp;Table1[[#This Row],[Class]]</f>
        <v>Prisha -10</v>
      </c>
      <c r="AK95" s="1" t="str">
        <f>RIGHT(Table1[[#This Row],[Full Name ]],LEN(Table1[[#This Row],[Full Name ]])-SEARCH(" ",Table1[[#This Row],[Full Name ]]))</f>
        <v>Malhotra</v>
      </c>
      <c r="AL95" s="1" t="str">
        <f>LEFT(Table1[[#This Row],[Full Name ]],SEARCH(" ",Table1[[#This Row],[Full Name ]]))</f>
        <v xml:space="preserve">Prisha </v>
      </c>
      <c r="AM95" s="1">
        <f>LEN(Table1[[#This Row],[Frist_Name ]])</f>
        <v>6</v>
      </c>
      <c r="AN95" s="1"/>
      <c r="AO95" s="1"/>
    </row>
    <row r="96" spans="1:46" x14ac:dyDescent="0.3">
      <c r="A96" s="1">
        <v>95</v>
      </c>
      <c r="B96" s="1" t="s">
        <v>176</v>
      </c>
      <c r="C96" s="1" t="s">
        <v>74</v>
      </c>
      <c r="D96" t="str">
        <f>_xlfn.CONCAT(Table1[[#This Row],[Frist_Name ]]," ",Table1[[#This Row],[Last_Name]])</f>
        <v>Shivam Yadav</v>
      </c>
      <c r="E96" s="1">
        <v>16</v>
      </c>
      <c r="F96" s="1" t="s">
        <v>19</v>
      </c>
      <c r="G96" s="1">
        <v>11</v>
      </c>
      <c r="H96" s="1" t="s">
        <v>34</v>
      </c>
      <c r="I96" s="1">
        <v>82</v>
      </c>
      <c r="J96" s="1">
        <v>75</v>
      </c>
      <c r="K96" s="1">
        <v>64</v>
      </c>
      <c r="L96" s="1">
        <v>68</v>
      </c>
      <c r="M96" s="1">
        <v>72</v>
      </c>
      <c r="N96" s="1">
        <v>70</v>
      </c>
      <c r="O96" s="1">
        <v>12</v>
      </c>
      <c r="P96" s="1" t="s">
        <v>21</v>
      </c>
      <c r="Q96" s="1" t="s">
        <v>22</v>
      </c>
      <c r="R96" s="1" t="s">
        <v>23</v>
      </c>
      <c r="S96" s="1">
        <v>68</v>
      </c>
      <c r="T96" s="1" t="s">
        <v>29</v>
      </c>
      <c r="U96" s="1" t="s">
        <v>24</v>
      </c>
      <c r="W96">
        <f>(Table1[[#This Row],[Assignments Avg]]*0.1)+(Table1[[#This Row],[Midterm Score]]*0.3)+(Table1[[#This Row],[Final Exam Score]]*0.45)+(Table1[[#This Row],[Project Score]]*0.1)</f>
        <v>64.5</v>
      </c>
      <c r="X96" s="1" t="str">
        <f>IF(OR(Table1[[#This Row],[Attendance %]]&lt;57,Table1[[#This Row],[Final Score]]&lt;45),"At-Risk","Ok")</f>
        <v>Ok</v>
      </c>
      <c r="Y96" s="1" t="str">
        <f>IF(Table1[[#This Row],[Study Hours]]&lt;5,"Low Study","Normal")</f>
        <v>Normal</v>
      </c>
      <c r="Z96" s="1">
        <f>Table1[[#This Row],[Final Exam Score]]-Table1[[#This Row],[Midterm Score]]</f>
        <v>4</v>
      </c>
      <c r="AA96" s="1" t="str">
        <f>IF(Table1[[#This Row],[Final Score]]&gt;=80,"A",IF(Table1[[#This Row],[Final Score]]&gt;=70,"B",IF(Table1[[#This Row],[Final Score]]&gt;=60,"C",IF(Table1[[#This Row],[Final Score]]&gt;=50,"D","F"))))</f>
        <v>C</v>
      </c>
      <c r="AB96" s="1">
        <f>Table1[[#This Row],[Final Score]]+5</f>
        <v>73</v>
      </c>
      <c r="AC96" s="1" t="str">
        <f>IF(Table1[[#This Row],[Final Score]]&gt;=40,"Pass","Fail")</f>
        <v>Pass</v>
      </c>
      <c r="AD96" t="str">
        <f>IF(OR(Table1[[#This Row],[Final Score]]&gt;=80,Table1[[#This Row],[Attendance %]]&gt;=90),"High Performer","normal")</f>
        <v>normal</v>
      </c>
      <c r="AE96" s="1" t="str">
        <f>IF(Table1[[#This Row],[Gender]]="Male","Boy","Girl")</f>
        <v>Boy</v>
      </c>
      <c r="AF96" s="1" t="str">
        <f>IF(Table1[[#This Row],[Final Score]]&gt;90,"Certificate","No Allow Certificate")</f>
        <v>No Allow Certificate</v>
      </c>
      <c r="AG96" s="1" t="str">
        <f>IF(Table1[[#This Row],[Extracurricular]]="Yes","Active","Not Active")</f>
        <v>Active</v>
      </c>
      <c r="AH96" s="1" t="str">
        <f>IF(Table1[[#This Row],[Parent Education]]="Graduate","Educated_Parent", "Other")</f>
        <v>Educated_Parent</v>
      </c>
      <c r="AI96" s="1" t="str">
        <f>IF(Table1[[#This Row],[Assignments Avg]]&lt;70,"Need Practice","Ok")</f>
        <v>Ok</v>
      </c>
      <c r="AJ96" s="1" t="str">
        <f>Table1[[#This Row],[Frist_Name ]]&amp;" -"&amp;Table1[[#This Row],[Class]]</f>
        <v>Shivam -11</v>
      </c>
      <c r="AK96" s="1" t="str">
        <f>RIGHT(Table1[[#This Row],[Full Name ]],LEN(Table1[[#This Row],[Full Name ]])-SEARCH(" ",Table1[[#This Row],[Full Name ]]))</f>
        <v>Yadav</v>
      </c>
      <c r="AL96" s="1" t="str">
        <f>LEFT(Table1[[#This Row],[Full Name ]],SEARCH(" ",Table1[[#This Row],[Full Name ]]))</f>
        <v xml:space="preserve">Shivam </v>
      </c>
      <c r="AM96" s="1">
        <f>LEN(Table1[[#This Row],[Frist_Name ]])</f>
        <v>6</v>
      </c>
      <c r="AN96" s="1"/>
      <c r="AO96" s="1"/>
      <c r="AP96" s="2" t="s">
        <v>202</v>
      </c>
      <c r="AQ96" t="s">
        <v>207</v>
      </c>
    </row>
    <row r="97" spans="1:48" x14ac:dyDescent="0.3">
      <c r="A97" s="1">
        <v>96</v>
      </c>
      <c r="B97" s="1" t="s">
        <v>177</v>
      </c>
      <c r="C97" s="1" t="s">
        <v>62</v>
      </c>
      <c r="D97" t="str">
        <f>_xlfn.CONCAT(Table1[[#This Row],[Frist_Name ]]," ",Table1[[#This Row],[Last_Name]])</f>
        <v>Sia Kapoor</v>
      </c>
      <c r="E97" s="1">
        <v>15</v>
      </c>
      <c r="F97" s="1" t="s">
        <v>25</v>
      </c>
      <c r="G97" s="1">
        <v>10</v>
      </c>
      <c r="H97" s="1" t="s">
        <v>34</v>
      </c>
      <c r="I97" s="1">
        <v>89</v>
      </c>
      <c r="J97" s="1">
        <v>85</v>
      </c>
      <c r="K97" s="1">
        <v>78</v>
      </c>
      <c r="L97" s="1">
        <v>83</v>
      </c>
      <c r="M97" s="1">
        <v>86</v>
      </c>
      <c r="N97" s="1">
        <v>84</v>
      </c>
      <c r="O97" s="1">
        <v>17</v>
      </c>
      <c r="P97" s="1" t="s">
        <v>21</v>
      </c>
      <c r="Q97" s="1" t="s">
        <v>22</v>
      </c>
      <c r="R97" s="1" t="s">
        <v>27</v>
      </c>
      <c r="S97" s="1">
        <v>82</v>
      </c>
      <c r="T97" s="1" t="s">
        <v>20</v>
      </c>
      <c r="U97" s="1" t="s">
        <v>24</v>
      </c>
      <c r="W97">
        <f>(Table1[[#This Row],[Assignments Avg]]*0.1)+(Table1[[#This Row],[Midterm Score]]*0.3)+(Table1[[#This Row],[Final Exam Score]]*0.45)+(Table1[[#This Row],[Project Score]]*0.1)</f>
        <v>77.849999999999994</v>
      </c>
      <c r="X97" s="1" t="str">
        <f>IF(OR(Table1[[#This Row],[Attendance %]]&lt;57,Table1[[#This Row],[Final Score]]&lt;45),"At-Risk","Ok")</f>
        <v>Ok</v>
      </c>
      <c r="Y97" s="1" t="str">
        <f>IF(Table1[[#This Row],[Study Hours]]&lt;5,"Low Study","Normal")</f>
        <v>Normal</v>
      </c>
      <c r="Z97" s="1">
        <f>Table1[[#This Row],[Final Exam Score]]-Table1[[#This Row],[Midterm Score]]</f>
        <v>5</v>
      </c>
      <c r="AA97" s="1" t="str">
        <f>IF(Table1[[#This Row],[Final Score]]&gt;=80,"A",IF(Table1[[#This Row],[Final Score]]&gt;=70,"B",IF(Table1[[#This Row],[Final Score]]&gt;=60,"C",IF(Table1[[#This Row],[Final Score]]&gt;=50,"D","F"))))</f>
        <v>A</v>
      </c>
      <c r="AB97" s="1">
        <f>Table1[[#This Row],[Final Score]]+5</f>
        <v>87</v>
      </c>
      <c r="AC97" s="1" t="str">
        <f>IF(Table1[[#This Row],[Final Score]]&gt;=40,"Pass","Fail")</f>
        <v>Pass</v>
      </c>
      <c r="AD97" t="str">
        <f>IF(OR(Table1[[#This Row],[Final Score]]&gt;=80,Table1[[#This Row],[Attendance %]]&gt;=90),"High Performer","normal")</f>
        <v>High Performer</v>
      </c>
      <c r="AE97" s="1" t="str">
        <f>IF(Table1[[#This Row],[Gender]]="Male","Boy","Girl")</f>
        <v>Girl</v>
      </c>
      <c r="AF97" s="1" t="str">
        <f>IF(Table1[[#This Row],[Final Score]]&gt;90,"Certificate","No Allow Certificate")</f>
        <v>No Allow Certificate</v>
      </c>
      <c r="AG97" s="1" t="str">
        <f>IF(Table1[[#This Row],[Extracurricular]]="Yes","Active","Not Active")</f>
        <v>Active</v>
      </c>
      <c r="AH97" s="1" t="str">
        <f>IF(Table1[[#This Row],[Parent Education]]="Graduate","Educated_Parent", "Other")</f>
        <v>Educated_Parent</v>
      </c>
      <c r="AI97" s="1" t="str">
        <f>IF(Table1[[#This Row],[Assignments Avg]]&lt;70,"Need Practice","Ok")</f>
        <v>Ok</v>
      </c>
      <c r="AJ97" s="1" t="str">
        <f>Table1[[#This Row],[Frist_Name ]]&amp;" -"&amp;Table1[[#This Row],[Class]]</f>
        <v>Sia -10</v>
      </c>
      <c r="AK97" s="1" t="str">
        <f>RIGHT(Table1[[#This Row],[Full Name ]],LEN(Table1[[#This Row],[Full Name ]])-SEARCH(" ",Table1[[#This Row],[Full Name ]]))</f>
        <v>Kapoor</v>
      </c>
      <c r="AL97" s="1" t="str">
        <f>LEFT(Table1[[#This Row],[Full Name ]],SEARCH(" ",Table1[[#This Row],[Full Name ]]))</f>
        <v xml:space="preserve">Sia </v>
      </c>
      <c r="AM97" s="1">
        <f>LEN(Table1[[#This Row],[Frist_Name ]])</f>
        <v>3</v>
      </c>
      <c r="AN97" s="1"/>
      <c r="AO97" s="1"/>
      <c r="AP97" s="3" t="s">
        <v>25</v>
      </c>
      <c r="AQ97">
        <v>49</v>
      </c>
      <c r="AR97">
        <f>GETPIVOTDATA("StudentID",$AP$96,"Gender","Female")</f>
        <v>49</v>
      </c>
    </row>
    <row r="98" spans="1:48" x14ac:dyDescent="0.3">
      <c r="A98" s="1">
        <v>97</v>
      </c>
      <c r="B98" s="1" t="s">
        <v>178</v>
      </c>
      <c r="C98" s="1" t="s">
        <v>179</v>
      </c>
      <c r="D98" t="str">
        <f>_xlfn.CONCAT(Table1[[#This Row],[Frist_Name ]]," ",Table1[[#This Row],[Last_Name]])</f>
        <v>Akshay Rane</v>
      </c>
      <c r="E98" s="1">
        <v>16</v>
      </c>
      <c r="F98" s="1" t="s">
        <v>19</v>
      </c>
      <c r="G98" s="1">
        <v>12</v>
      </c>
      <c r="H98" s="1" t="s">
        <v>20</v>
      </c>
      <c r="I98" s="1">
        <v>58</v>
      </c>
      <c r="J98" s="1">
        <v>51</v>
      </c>
      <c r="K98" s="1">
        <v>33</v>
      </c>
      <c r="L98" s="1">
        <v>30</v>
      </c>
      <c r="M98" s="1">
        <v>41</v>
      </c>
      <c r="N98" s="1">
        <v>39</v>
      </c>
      <c r="O98" s="1">
        <v>4</v>
      </c>
      <c r="P98" s="1" t="s">
        <v>30</v>
      </c>
      <c r="Q98" s="1" t="s">
        <v>31</v>
      </c>
      <c r="R98" s="1" t="s">
        <v>33</v>
      </c>
      <c r="S98" s="1">
        <v>35</v>
      </c>
      <c r="T98" s="1" t="s">
        <v>36</v>
      </c>
      <c r="U98" s="1" t="s">
        <v>35</v>
      </c>
      <c r="W98">
        <f>(Table1[[#This Row],[Assignments Avg]]*0.1)+(Table1[[#This Row],[Midterm Score]]*0.3)+(Table1[[#This Row],[Final Exam Score]]*0.45)+(Table1[[#This Row],[Project Score]]*0.1)</f>
        <v>32.6</v>
      </c>
      <c r="X98" s="1" t="str">
        <f>IF(OR(Table1[[#This Row],[Attendance %]]&lt;57,Table1[[#This Row],[Final Score]]&lt;45),"At-Risk","Ok")</f>
        <v>At-Risk</v>
      </c>
      <c r="Y98" s="1" t="str">
        <f>IF(Table1[[#This Row],[Study Hours]]&lt;5,"Low Study","Normal")</f>
        <v>Low Study</v>
      </c>
      <c r="Z98" s="1">
        <f>Table1[[#This Row],[Final Exam Score]]-Table1[[#This Row],[Midterm Score]]</f>
        <v>-3</v>
      </c>
      <c r="AA98" s="1" t="str">
        <f>IF(Table1[[#This Row],[Final Score]]&gt;=80,"A",IF(Table1[[#This Row],[Final Score]]&gt;=70,"B",IF(Table1[[#This Row],[Final Score]]&gt;=60,"C",IF(Table1[[#This Row],[Final Score]]&gt;=50,"D","F"))))</f>
        <v>F</v>
      </c>
      <c r="AB98" s="1">
        <f>Table1[[#This Row],[Final Score]]+5</f>
        <v>40</v>
      </c>
      <c r="AC98" s="1" t="str">
        <f>IF(Table1[[#This Row],[Final Score]]&gt;=40,"Pass","Fail")</f>
        <v>Fail</v>
      </c>
      <c r="AD98" t="str">
        <f>IF(OR(Table1[[#This Row],[Final Score]]&gt;=80,Table1[[#This Row],[Attendance %]]&gt;=90),"High Performer","normal")</f>
        <v>normal</v>
      </c>
      <c r="AE98" s="1" t="str">
        <f>IF(Table1[[#This Row],[Gender]]="Male","Boy","Girl")</f>
        <v>Boy</v>
      </c>
      <c r="AF98" s="1" t="str">
        <f>IF(Table1[[#This Row],[Final Score]]&gt;90,"Certificate","No Allow Certificate")</f>
        <v>No Allow Certificate</v>
      </c>
      <c r="AG98" s="1" t="str">
        <f>IF(Table1[[#This Row],[Extracurricular]]="Yes","Active","Not Active")</f>
        <v>Not Active</v>
      </c>
      <c r="AH98" s="1" t="str">
        <f>IF(Table1[[#This Row],[Parent Education]]="Graduate","Educated_Parent", "Other")</f>
        <v>Other</v>
      </c>
      <c r="AI98" s="1" t="str">
        <f>IF(Table1[[#This Row],[Assignments Avg]]&lt;70,"Need Practice","Ok")</f>
        <v>Need Practice</v>
      </c>
      <c r="AJ98" s="1" t="str">
        <f>Table1[[#This Row],[Frist_Name ]]&amp;" -"&amp;Table1[[#This Row],[Class]]</f>
        <v>Akshay -12</v>
      </c>
      <c r="AK98" s="1" t="str">
        <f>RIGHT(Table1[[#This Row],[Full Name ]],LEN(Table1[[#This Row],[Full Name ]])-SEARCH(" ",Table1[[#This Row],[Full Name ]]))</f>
        <v>Rane</v>
      </c>
      <c r="AL98" s="1" t="str">
        <f>LEFT(Table1[[#This Row],[Full Name ]],SEARCH(" ",Table1[[#This Row],[Full Name ]]))</f>
        <v xml:space="preserve">Akshay </v>
      </c>
      <c r="AM98" s="1">
        <f>LEN(Table1[[#This Row],[Frist_Name ]])</f>
        <v>6</v>
      </c>
      <c r="AN98" s="1"/>
      <c r="AO98" s="1"/>
      <c r="AP98" s="3" t="s">
        <v>19</v>
      </c>
      <c r="AQ98">
        <v>51</v>
      </c>
      <c r="AR98">
        <f>GETPIVOTDATA("StudentID",$AP$96,"Gender","Male")</f>
        <v>51</v>
      </c>
    </row>
    <row r="99" spans="1:48" x14ac:dyDescent="0.3">
      <c r="A99" s="1">
        <v>98</v>
      </c>
      <c r="B99" s="1" t="s">
        <v>67</v>
      </c>
      <c r="C99" s="1" t="s">
        <v>40</v>
      </c>
      <c r="D99" t="str">
        <f>_xlfn.CONCAT(Table1[[#This Row],[Frist_Name ]]," ",Table1[[#This Row],[Last_Name]])</f>
        <v>Kiara Patel</v>
      </c>
      <c r="E99" s="1">
        <v>15</v>
      </c>
      <c r="F99" s="1" t="s">
        <v>25</v>
      </c>
      <c r="G99" s="1">
        <v>10</v>
      </c>
      <c r="H99" s="1" t="s">
        <v>20</v>
      </c>
      <c r="I99" s="1">
        <v>93</v>
      </c>
      <c r="J99" s="1">
        <v>90</v>
      </c>
      <c r="K99" s="1">
        <v>86</v>
      </c>
      <c r="L99" s="1">
        <v>91</v>
      </c>
      <c r="M99" s="1">
        <v>92</v>
      </c>
      <c r="N99" s="1">
        <v>93</v>
      </c>
      <c r="O99" s="1">
        <v>21</v>
      </c>
      <c r="P99" s="1" t="s">
        <v>21</v>
      </c>
      <c r="Q99" s="1" t="s">
        <v>26</v>
      </c>
      <c r="R99" s="1" t="s">
        <v>27</v>
      </c>
      <c r="S99" s="1">
        <v>90</v>
      </c>
      <c r="T99" s="1" t="s">
        <v>28</v>
      </c>
      <c r="U99" s="1" t="s">
        <v>24</v>
      </c>
      <c r="W99">
        <f>(Table1[[#This Row],[Assignments Avg]]*0.1)+(Table1[[#This Row],[Midterm Score]]*0.3)+(Table1[[#This Row],[Final Exam Score]]*0.45)+(Table1[[#This Row],[Project Score]]*0.1)</f>
        <v>84.95</v>
      </c>
      <c r="X99" s="1" t="str">
        <f>IF(OR(Table1[[#This Row],[Attendance %]]&lt;57,Table1[[#This Row],[Final Score]]&lt;45),"At-Risk","Ok")</f>
        <v>Ok</v>
      </c>
      <c r="Y99" s="1" t="str">
        <f>IF(Table1[[#This Row],[Study Hours]]&lt;5,"Low Study","Normal")</f>
        <v>Normal</v>
      </c>
      <c r="Z99" s="1">
        <f>Table1[[#This Row],[Final Exam Score]]-Table1[[#This Row],[Midterm Score]]</f>
        <v>5</v>
      </c>
      <c r="AA99" s="1" t="str">
        <f>IF(Table1[[#This Row],[Final Score]]&gt;=80,"A",IF(Table1[[#This Row],[Final Score]]&gt;=70,"B",IF(Table1[[#This Row],[Final Score]]&gt;=60,"C",IF(Table1[[#This Row],[Final Score]]&gt;=50,"D","F"))))</f>
        <v>A</v>
      </c>
      <c r="AB99" s="1">
        <f>Table1[[#This Row],[Final Score]]+5</f>
        <v>95</v>
      </c>
      <c r="AC99" s="1" t="str">
        <f>IF(Table1[[#This Row],[Final Score]]&gt;=40,"Pass","Fail")</f>
        <v>Pass</v>
      </c>
      <c r="AD99" t="str">
        <f>IF(OR(Table1[[#This Row],[Final Score]]&gt;=80,Table1[[#This Row],[Attendance %]]&gt;=90),"High Performer","normal")</f>
        <v>High Performer</v>
      </c>
      <c r="AE99" s="1" t="str">
        <f>IF(Table1[[#This Row],[Gender]]="Male","Boy","Girl")</f>
        <v>Girl</v>
      </c>
      <c r="AF99" s="1" t="str">
        <f>IF(Table1[[#This Row],[Final Score]]&gt;90,"Certificate","No Allow Certificate")</f>
        <v>No Allow Certificate</v>
      </c>
      <c r="AG99" s="1" t="str">
        <f>IF(Table1[[#This Row],[Extracurricular]]="Yes","Active","Not Active")</f>
        <v>Active</v>
      </c>
      <c r="AH99" s="1" t="str">
        <f>IF(Table1[[#This Row],[Parent Education]]="Graduate","Educated_Parent", "Other")</f>
        <v>Other</v>
      </c>
      <c r="AI99" s="1" t="str">
        <f>IF(Table1[[#This Row],[Assignments Avg]]&lt;70,"Need Practice","Ok")</f>
        <v>Ok</v>
      </c>
      <c r="AJ99" s="1" t="str">
        <f>Table1[[#This Row],[Frist_Name ]]&amp;" -"&amp;Table1[[#This Row],[Class]]</f>
        <v>Kiara -10</v>
      </c>
      <c r="AK99" s="1" t="str">
        <f>RIGHT(Table1[[#This Row],[Full Name ]],LEN(Table1[[#This Row],[Full Name ]])-SEARCH(" ",Table1[[#This Row],[Full Name ]]))</f>
        <v>Patel</v>
      </c>
      <c r="AL99" s="1" t="str">
        <f>LEFT(Table1[[#This Row],[Full Name ]],SEARCH(" ",Table1[[#This Row],[Full Name ]]))</f>
        <v xml:space="preserve">Kiara </v>
      </c>
      <c r="AM99" s="1">
        <f>LEN(Table1[[#This Row],[Frist_Name ]])</f>
        <v>5</v>
      </c>
      <c r="AN99" s="1"/>
      <c r="AO99" s="1"/>
      <c r="AP99" s="3" t="s">
        <v>203</v>
      </c>
      <c r="AQ99">
        <v>100</v>
      </c>
    </row>
    <row r="100" spans="1:48" x14ac:dyDescent="0.3">
      <c r="A100" s="1">
        <v>99</v>
      </c>
      <c r="B100" s="1" t="s">
        <v>180</v>
      </c>
      <c r="C100" s="1" t="s">
        <v>181</v>
      </c>
      <c r="D100" t="str">
        <f>_xlfn.CONCAT(Table1[[#This Row],[Frist_Name ]]," ",Table1[[#This Row],[Last_Name]])</f>
        <v>Rehan Ali</v>
      </c>
      <c r="E100" s="1">
        <v>16</v>
      </c>
      <c r="F100" s="1" t="s">
        <v>19</v>
      </c>
      <c r="G100" s="1">
        <v>12</v>
      </c>
      <c r="H100" s="1" t="s">
        <v>29</v>
      </c>
      <c r="I100" s="1">
        <v>74</v>
      </c>
      <c r="J100" s="1">
        <v>67</v>
      </c>
      <c r="K100" s="1">
        <v>52</v>
      </c>
      <c r="L100" s="1">
        <v>56</v>
      </c>
      <c r="M100" s="1">
        <v>60</v>
      </c>
      <c r="N100" s="1">
        <v>62</v>
      </c>
      <c r="O100" s="1">
        <v>8</v>
      </c>
      <c r="P100" s="1" t="s">
        <v>30</v>
      </c>
      <c r="Q100" s="1" t="s">
        <v>31</v>
      </c>
      <c r="R100" s="1" t="s">
        <v>23</v>
      </c>
      <c r="S100" s="1">
        <v>57</v>
      </c>
      <c r="T100" s="1" t="s">
        <v>32</v>
      </c>
      <c r="U100" s="1" t="s">
        <v>24</v>
      </c>
      <c r="W100">
        <f>(Table1[[#This Row],[Assignments Avg]]*0.1)+(Table1[[#This Row],[Midterm Score]]*0.3)+(Table1[[#This Row],[Final Exam Score]]*0.45)+(Table1[[#This Row],[Project Score]]*0.1)</f>
        <v>53.5</v>
      </c>
      <c r="X100" s="1" t="str">
        <f>IF(OR(Table1[[#This Row],[Attendance %]]&lt;57,Table1[[#This Row],[Final Score]]&lt;45),"At-Risk","Ok")</f>
        <v>Ok</v>
      </c>
      <c r="Y100" s="1" t="str">
        <f>IF(Table1[[#This Row],[Study Hours]]&lt;5,"Low Study","Normal")</f>
        <v>Normal</v>
      </c>
      <c r="Z100" s="1">
        <f>Table1[[#This Row],[Final Exam Score]]-Table1[[#This Row],[Midterm Score]]</f>
        <v>4</v>
      </c>
      <c r="AA100" s="1" t="str">
        <f>IF(Table1[[#This Row],[Final Score]]&gt;=80,"A",IF(Table1[[#This Row],[Final Score]]&gt;=70,"B",IF(Table1[[#This Row],[Final Score]]&gt;=60,"C",IF(Table1[[#This Row],[Final Score]]&gt;=50,"D","F"))))</f>
        <v>D</v>
      </c>
      <c r="AB100" s="1">
        <f>Table1[[#This Row],[Final Score]]+5</f>
        <v>62</v>
      </c>
      <c r="AC100" s="1" t="str">
        <f>IF(Table1[[#This Row],[Final Score]]&gt;=40,"Pass","Fail")</f>
        <v>Pass</v>
      </c>
      <c r="AD100" t="str">
        <f>IF(OR(Table1[[#This Row],[Final Score]]&gt;=80,Table1[[#This Row],[Attendance %]]&gt;=90),"High Performer","normal")</f>
        <v>normal</v>
      </c>
      <c r="AE100" s="1" t="str">
        <f>IF(Table1[[#This Row],[Gender]]="Male","Boy","Girl")</f>
        <v>Boy</v>
      </c>
      <c r="AF100" s="1" t="str">
        <f>IF(Table1[[#This Row],[Final Score]]&gt;90,"Certificate","No Allow Certificate")</f>
        <v>No Allow Certificate</v>
      </c>
      <c r="AG100" s="1" t="str">
        <f>IF(Table1[[#This Row],[Extracurricular]]="Yes","Active","Not Active")</f>
        <v>Not Active</v>
      </c>
      <c r="AH100" s="1" t="str">
        <f>IF(Table1[[#This Row],[Parent Education]]="Graduate","Educated_Parent", "Other")</f>
        <v>Other</v>
      </c>
      <c r="AI100" s="1" t="str">
        <f>IF(Table1[[#This Row],[Assignments Avg]]&lt;70,"Need Practice","Ok")</f>
        <v>Need Practice</v>
      </c>
      <c r="AJ100" s="1" t="str">
        <f>Table1[[#This Row],[Frist_Name ]]&amp;" -"&amp;Table1[[#This Row],[Class]]</f>
        <v>Rehan -12</v>
      </c>
      <c r="AK100" s="1" t="str">
        <f>RIGHT(Table1[[#This Row],[Full Name ]],LEN(Table1[[#This Row],[Full Name ]])-SEARCH(" ",Table1[[#This Row],[Full Name ]]))</f>
        <v>Ali</v>
      </c>
      <c r="AL100" s="1" t="str">
        <f>LEFT(Table1[[#This Row],[Full Name ]],SEARCH(" ",Table1[[#This Row],[Full Name ]]))</f>
        <v xml:space="preserve">Rehan </v>
      </c>
      <c r="AM100" s="1">
        <f>LEN(Table1[[#This Row],[Frist_Name ]])</f>
        <v>5</v>
      </c>
      <c r="AN100" s="1"/>
      <c r="AO100" s="1"/>
    </row>
    <row r="101" spans="1:48" x14ac:dyDescent="0.3">
      <c r="A101" s="1">
        <v>100</v>
      </c>
      <c r="B101" s="1" t="s">
        <v>182</v>
      </c>
      <c r="C101" s="1" t="s">
        <v>123</v>
      </c>
      <c r="D101" t="str">
        <f>_xlfn.CONCAT(Table1[[#This Row],[Frist_Name ]]," ",Table1[[#This Row],[Last_Name]])</f>
        <v>Ishaan Roy</v>
      </c>
      <c r="E101" s="1">
        <v>16</v>
      </c>
      <c r="F101" s="1" t="s">
        <v>19</v>
      </c>
      <c r="G101" s="1">
        <v>11</v>
      </c>
      <c r="H101" s="1" t="s">
        <v>29</v>
      </c>
      <c r="I101" s="1">
        <v>64</v>
      </c>
      <c r="J101" s="1">
        <v>55</v>
      </c>
      <c r="K101" s="1">
        <v>40</v>
      </c>
      <c r="L101" s="1">
        <v>37</v>
      </c>
      <c r="M101" s="1">
        <v>45</v>
      </c>
      <c r="N101" s="1">
        <v>43</v>
      </c>
      <c r="O101" s="1">
        <v>5</v>
      </c>
      <c r="P101" s="1" t="s">
        <v>30</v>
      </c>
      <c r="Q101" s="1" t="s">
        <v>31</v>
      </c>
      <c r="R101" s="1" t="s">
        <v>33</v>
      </c>
      <c r="S101" s="1">
        <v>40</v>
      </c>
      <c r="T101" s="1" t="s">
        <v>34</v>
      </c>
      <c r="U101" s="1" t="s">
        <v>35</v>
      </c>
      <c r="W101">
        <f>(Table1[[#This Row],[Assignments Avg]]*0.1)+(Table1[[#This Row],[Midterm Score]]*0.3)+(Table1[[#This Row],[Final Exam Score]]*0.45)+(Table1[[#This Row],[Project Score]]*0.1)</f>
        <v>38.650000000000006</v>
      </c>
      <c r="X101" s="1" t="str">
        <f>IF(OR(Table1[[#This Row],[Attendance %]]&lt;57,Table1[[#This Row],[Final Score]]&lt;45),"At-Risk","Ok")</f>
        <v>At-Risk</v>
      </c>
      <c r="Y101" s="1" t="str">
        <f>IF(Table1[[#This Row],[Study Hours]]&lt;5,"Low Study","Normal")</f>
        <v>Normal</v>
      </c>
      <c r="Z101" s="1">
        <f>Table1[[#This Row],[Final Exam Score]]-Table1[[#This Row],[Midterm Score]]</f>
        <v>-3</v>
      </c>
      <c r="AA101" s="1" t="str">
        <f>IF(Table1[[#This Row],[Final Score]]&gt;=80,"A",IF(Table1[[#This Row],[Final Score]]&gt;=70,"B",IF(Table1[[#This Row],[Final Score]]&gt;=60,"C",IF(Table1[[#This Row],[Final Score]]&gt;=50,"D","F"))))</f>
        <v>F</v>
      </c>
      <c r="AB101" s="1">
        <f>Table1[[#This Row],[Final Score]]+5</f>
        <v>45</v>
      </c>
      <c r="AC101" s="1" t="str">
        <f>IF(Table1[[#This Row],[Final Score]]&gt;=40,"Pass","Fail")</f>
        <v>Pass</v>
      </c>
      <c r="AD101" t="str">
        <f>IF(OR(Table1[[#This Row],[Final Score]]&gt;=80,Table1[[#This Row],[Attendance %]]&gt;=90),"High Performer","normal")</f>
        <v>normal</v>
      </c>
      <c r="AE101" s="1" t="str">
        <f>IF(Table1[[#This Row],[Gender]]="Male","Boy","Girl")</f>
        <v>Boy</v>
      </c>
      <c r="AF101" s="1" t="str">
        <f>IF(Table1[[#This Row],[Final Score]]&gt;90,"Certificate","No Allow Certificate")</f>
        <v>No Allow Certificate</v>
      </c>
      <c r="AG101" s="1" t="str">
        <f>IF(Table1[[#This Row],[Extracurricular]]="Yes","Active","Not Active")</f>
        <v>Not Active</v>
      </c>
      <c r="AH101" s="1" t="str">
        <f>IF(Table1[[#This Row],[Parent Education]]="Graduate","Educated_Parent", "Other")</f>
        <v>Other</v>
      </c>
      <c r="AI101" s="1" t="str">
        <f>IF(Table1[[#This Row],[Assignments Avg]]&lt;70,"Need Practice","Ok")</f>
        <v>Need Practice</v>
      </c>
      <c r="AJ101" s="1" t="str">
        <f>Table1[[#This Row],[Frist_Name ]]&amp;" -"&amp;Table1[[#This Row],[Class]]</f>
        <v>Ishaan -11</v>
      </c>
      <c r="AK101" s="1" t="str">
        <f>RIGHT(Table1[[#This Row],[Full Name ]],LEN(Table1[[#This Row],[Full Name ]])-SEARCH(" ",Table1[[#This Row],[Full Name ]]))</f>
        <v>Roy</v>
      </c>
      <c r="AL101" s="1" t="str">
        <f>LEFT(Table1[[#This Row],[Full Name ]],SEARCH(" ",Table1[[#This Row],[Full Name ]]))</f>
        <v xml:space="preserve">Ishaan </v>
      </c>
      <c r="AM101" s="1">
        <f>LEN(Table1[[#This Row],[Frist_Name ]])</f>
        <v>6</v>
      </c>
      <c r="AN101" s="1"/>
      <c r="AO101" s="1"/>
    </row>
    <row r="102" spans="1:48" x14ac:dyDescent="0.3">
      <c r="Y102" s="1"/>
      <c r="AD102" t="s">
        <v>187</v>
      </c>
      <c r="AH102" s="1" t="s">
        <v>187</v>
      </c>
    </row>
    <row r="103" spans="1:48" x14ac:dyDescent="0.3">
      <c r="Y103" s="1"/>
    </row>
    <row r="110" spans="1:48" x14ac:dyDescent="0.3">
      <c r="AR110" s="5" t="s">
        <v>214</v>
      </c>
      <c r="AS110" s="5"/>
      <c r="AT110" s="5"/>
      <c r="AU110" s="5"/>
      <c r="AV110" s="5"/>
    </row>
    <row r="113" spans="44:47" x14ac:dyDescent="0.3">
      <c r="AR113" s="2" t="s">
        <v>202</v>
      </c>
      <c r="AS113" t="s">
        <v>207</v>
      </c>
    </row>
    <row r="114" spans="44:47" x14ac:dyDescent="0.3">
      <c r="AR114" s="3" t="s">
        <v>35</v>
      </c>
      <c r="AS114">
        <v>25</v>
      </c>
    </row>
    <row r="115" spans="44:47" x14ac:dyDescent="0.3">
      <c r="AR115" s="3" t="s">
        <v>24</v>
      </c>
      <c r="AS115">
        <v>75</v>
      </c>
    </row>
    <row r="116" spans="44:47" x14ac:dyDescent="0.3">
      <c r="AR116" s="3" t="s">
        <v>203</v>
      </c>
      <c r="AS116">
        <v>100</v>
      </c>
    </row>
    <row r="117" spans="44:47" x14ac:dyDescent="0.3">
      <c r="AS117">
        <f>GETPIVOTDATA("StudentID",$AR$113)</f>
        <v>100</v>
      </c>
    </row>
    <row r="128" spans="44:47" x14ac:dyDescent="0.3">
      <c r="AR128" s="5" t="s">
        <v>215</v>
      </c>
      <c r="AS128" s="5"/>
      <c r="AT128" s="5"/>
      <c r="AU128" s="5"/>
    </row>
    <row r="130" spans="44:47" x14ac:dyDescent="0.3">
      <c r="AR130" t="s">
        <v>216</v>
      </c>
      <c r="AS130">
        <f>AVERAGE(Table1[Final Score])</f>
        <v>69.61</v>
      </c>
    </row>
    <row r="131" spans="44:47" x14ac:dyDescent="0.3">
      <c r="AR131" t="s">
        <v>264</v>
      </c>
      <c r="AS131">
        <f>COUNTIF(Table1[Gender],F99)</f>
        <v>49</v>
      </c>
    </row>
    <row r="132" spans="44:47" x14ac:dyDescent="0.3">
      <c r="AR132" t="s">
        <v>263</v>
      </c>
      <c r="AS132">
        <f>COUNTIF(Table1[Gender],F100)</f>
        <v>51</v>
      </c>
    </row>
    <row r="133" spans="44:47" x14ac:dyDescent="0.3">
      <c r="AR133" t="s">
        <v>217</v>
      </c>
      <c r="AS133">
        <f>COUNTIF(X2:X101,X94)</f>
        <v>16</v>
      </c>
    </row>
    <row r="136" spans="44:47" x14ac:dyDescent="0.3">
      <c r="AR136" t="s">
        <v>218</v>
      </c>
      <c r="AS136">
        <f>COUNT(Table1[StudentID])</f>
        <v>100</v>
      </c>
    </row>
    <row r="140" spans="44:47" x14ac:dyDescent="0.3">
      <c r="AR140" s="5" t="s">
        <v>219</v>
      </c>
      <c r="AS140" s="5"/>
      <c r="AT140" s="5"/>
      <c r="AU140" s="5"/>
    </row>
    <row r="142" spans="44:47" x14ac:dyDescent="0.3">
      <c r="AR142" t="s">
        <v>220</v>
      </c>
      <c r="AS142">
        <f>LARGE(S2:S101,5)</f>
        <v>95</v>
      </c>
    </row>
    <row r="146" spans="44:47" x14ac:dyDescent="0.3">
      <c r="AR146" s="5" t="s">
        <v>221</v>
      </c>
      <c r="AS146" s="5"/>
      <c r="AT146" s="5"/>
      <c r="AU146" s="5"/>
    </row>
    <row r="148" spans="44:47" x14ac:dyDescent="0.3">
      <c r="AR148" t="s">
        <v>222</v>
      </c>
      <c r="AS148">
        <f>SUM(Table1[Midterm Score])</f>
        <v>6634</v>
      </c>
    </row>
    <row r="149" spans="44:47" x14ac:dyDescent="0.3">
      <c r="AR149" t="s">
        <v>223</v>
      </c>
      <c r="AS149">
        <f>SUM(Table1[Final Score])</f>
        <v>6961</v>
      </c>
    </row>
    <row r="150" spans="44:47" x14ac:dyDescent="0.3">
      <c r="AR150" t="s">
        <v>198</v>
      </c>
      <c r="AS150">
        <f>SUM(Table1[Project Score])</f>
        <v>7230</v>
      </c>
    </row>
    <row r="152" spans="44:47" x14ac:dyDescent="0.3">
      <c r="AR152" t="s">
        <v>224</v>
      </c>
      <c r="AS152">
        <f>AS148+AS149+AS150</f>
        <v>20825</v>
      </c>
    </row>
    <row r="156" spans="44:47" x14ac:dyDescent="0.3">
      <c r="AR156" s="5" t="s">
        <v>226</v>
      </c>
      <c r="AS156" s="5"/>
      <c r="AT156" s="5"/>
      <c r="AU156" s="5"/>
    </row>
    <row r="158" spans="44:47" x14ac:dyDescent="0.3">
      <c r="AR158" t="s">
        <v>225</v>
      </c>
      <c r="AS158">
        <f>SUM(Table1[Final Score])</f>
        <v>6961</v>
      </c>
    </row>
    <row r="160" spans="44:47" x14ac:dyDescent="0.3">
      <c r="AR160" t="s">
        <v>227</v>
      </c>
      <c r="AS160">
        <f>AS158/100</f>
        <v>69.61</v>
      </c>
    </row>
    <row r="164" spans="44:47" x14ac:dyDescent="0.3">
      <c r="AR164" s="5" t="s">
        <v>228</v>
      </c>
      <c r="AS164" s="5"/>
      <c r="AT164" s="5"/>
      <c r="AU164" s="5"/>
    </row>
    <row r="166" spans="44:47" x14ac:dyDescent="0.3">
      <c r="AR166" t="s">
        <v>225</v>
      </c>
      <c r="AS166">
        <f>SUM(Table1[Final Score])</f>
        <v>6961</v>
      </c>
    </row>
    <row r="167" spans="44:47" x14ac:dyDescent="0.3">
      <c r="AS167" t="str">
        <f>TEXT(AS166,"0.00%")</f>
        <v>696100.00%</v>
      </c>
    </row>
    <row r="170" spans="44:47" x14ac:dyDescent="0.3">
      <c r="AR170" s="5" t="s">
        <v>240</v>
      </c>
      <c r="AS170" s="5"/>
      <c r="AT170" s="5"/>
      <c r="AU170" s="5"/>
    </row>
    <row r="172" spans="44:47" x14ac:dyDescent="0.3">
      <c r="AR172" t="s">
        <v>1</v>
      </c>
      <c r="AS172" t="s">
        <v>239</v>
      </c>
    </row>
    <row r="173" spans="44:47" x14ac:dyDescent="0.3">
      <c r="AR173" t="s">
        <v>47</v>
      </c>
      <c r="AS173">
        <f>_xlfn.XLOOKUP(AR173,Table1[Frist_Name ],Table1[Attendance %],"Not Found",0)</f>
        <v>97</v>
      </c>
    </row>
    <row r="174" spans="44:47" x14ac:dyDescent="0.3">
      <c r="AS174" t="s">
        <v>187</v>
      </c>
    </row>
    <row r="177" spans="44:47" x14ac:dyDescent="0.3">
      <c r="AR177" s="5" t="s">
        <v>241</v>
      </c>
      <c r="AS177" s="5"/>
      <c r="AT177" s="5"/>
      <c r="AU177" s="5"/>
    </row>
    <row r="179" spans="44:47" x14ac:dyDescent="0.3">
      <c r="AR179" t="s">
        <v>197</v>
      </c>
      <c r="AS179" t="s">
        <v>198</v>
      </c>
    </row>
    <row r="180" spans="44:47" x14ac:dyDescent="0.3">
      <c r="AR180">
        <v>3</v>
      </c>
      <c r="AS180">
        <f>VLOOKUP(AR180,Table1[],12,FALSE)</f>
        <v>58</v>
      </c>
    </row>
    <row r="183" spans="44:47" x14ac:dyDescent="0.3">
      <c r="AR183" s="5" t="s">
        <v>243</v>
      </c>
      <c r="AS183" s="5"/>
      <c r="AT183" s="5"/>
      <c r="AU183" s="5"/>
    </row>
    <row r="185" spans="44:47" x14ac:dyDescent="0.3">
      <c r="AR185" t="s">
        <v>1</v>
      </c>
      <c r="AS185" t="s">
        <v>242</v>
      </c>
    </row>
    <row r="186" spans="44:47" x14ac:dyDescent="0.3">
      <c r="AR186" t="s">
        <v>63</v>
      </c>
      <c r="AS186">
        <f>MATCH(AR186,Table1[Frist_Name ],0)</f>
        <v>14</v>
      </c>
    </row>
    <row r="189" spans="44:47" x14ac:dyDescent="0.3">
      <c r="AR189" s="5" t="s">
        <v>244</v>
      </c>
      <c r="AS189" s="5"/>
      <c r="AT189" s="5"/>
      <c r="AU189" s="5"/>
    </row>
    <row r="191" spans="44:47" x14ac:dyDescent="0.3">
      <c r="AR191" t="s">
        <v>245</v>
      </c>
      <c r="AS191" t="s">
        <v>246</v>
      </c>
    </row>
    <row r="192" spans="44:47" x14ac:dyDescent="0.3">
      <c r="AR192">
        <v>10</v>
      </c>
      <c r="AS192" t="str">
        <f>LOOKUP(AR192,{10,20,30,40,50},{"A","B","C","D","F"})</f>
        <v>A</v>
      </c>
    </row>
    <row r="195" spans="44:47" x14ac:dyDescent="0.3">
      <c r="AR195" s="5" t="s">
        <v>247</v>
      </c>
      <c r="AS195" s="5"/>
      <c r="AT195" s="5"/>
      <c r="AU195" s="5"/>
    </row>
    <row r="197" spans="44:47" x14ac:dyDescent="0.3">
      <c r="AR197" t="s">
        <v>248</v>
      </c>
      <c r="AS197" t="s">
        <v>249</v>
      </c>
    </row>
    <row r="198" spans="44:47" x14ac:dyDescent="0.3">
      <c r="AR198" t="s">
        <v>49</v>
      </c>
      <c r="AS198">
        <f>MATCH(AR198,Table1[Frist_Name ],0)</f>
        <v>7</v>
      </c>
    </row>
    <row r="202" spans="44:47" x14ac:dyDescent="0.3">
      <c r="AR202" s="5" t="s">
        <v>250</v>
      </c>
      <c r="AS202" s="5"/>
      <c r="AT202" s="5"/>
      <c r="AU202" s="5"/>
    </row>
    <row r="204" spans="44:47" x14ac:dyDescent="0.3">
      <c r="AR204" t="s">
        <v>197</v>
      </c>
      <c r="AS204" t="s">
        <v>248</v>
      </c>
    </row>
    <row r="205" spans="44:47" x14ac:dyDescent="0.3">
      <c r="AR205">
        <v>2</v>
      </c>
      <c r="AS205" t="str">
        <f>INDEX(Table1[Frist_Name ],MATCH(AR205,Table1[StudentID],0))</f>
        <v>Ananya</v>
      </c>
    </row>
    <row r="208" spans="44:47" x14ac:dyDescent="0.3">
      <c r="AR208" s="5" t="s">
        <v>252</v>
      </c>
      <c r="AS208" s="5"/>
      <c r="AT208" s="5"/>
      <c r="AU208" s="5"/>
    </row>
    <row r="210" spans="44:47" x14ac:dyDescent="0.3">
      <c r="AS210" t="str">
        <f>INDEX(Table1[Frist_Name ],5)</f>
        <v>Vivaan</v>
      </c>
    </row>
    <row r="213" spans="44:47" x14ac:dyDescent="0.3">
      <c r="AR213" s="5" t="s">
        <v>251</v>
      </c>
      <c r="AS213" s="5"/>
      <c r="AT213" s="5"/>
      <c r="AU213" s="5"/>
    </row>
    <row r="214" spans="44:47" x14ac:dyDescent="0.3">
      <c r="AR214" t="s">
        <v>16</v>
      </c>
      <c r="AS214" t="s">
        <v>254</v>
      </c>
    </row>
    <row r="215" spans="44:47" x14ac:dyDescent="0.3">
      <c r="AR215">
        <v>84</v>
      </c>
      <c r="AS215">
        <f>MATCH(AR215,Table1[Final Score],0)</f>
        <v>1</v>
      </c>
    </row>
    <row r="218" spans="44:47" x14ac:dyDescent="0.3">
      <c r="AR218" s="5" t="s">
        <v>253</v>
      </c>
      <c r="AS218" s="5"/>
      <c r="AT218" s="5"/>
      <c r="AU218" s="5"/>
    </row>
    <row r="220" spans="44:47" x14ac:dyDescent="0.3">
      <c r="AR220" t="s">
        <v>248</v>
      </c>
      <c r="AS220" t="s">
        <v>5</v>
      </c>
    </row>
    <row r="221" spans="44:47" x14ac:dyDescent="0.3">
      <c r="AR221" t="s">
        <v>49</v>
      </c>
      <c r="AS221" t="str">
        <f>_xlfn.XLOOKUP(AR221,Table1[Frist_Name ],Table1[Section])</f>
        <v>D</v>
      </c>
    </row>
    <row r="224" spans="44:47" x14ac:dyDescent="0.3">
      <c r="AR224" t="s">
        <v>187</v>
      </c>
      <c r="AS224" t="s">
        <v>187</v>
      </c>
    </row>
    <row r="225" spans="44:47" x14ac:dyDescent="0.3">
      <c r="AR225" s="5" t="s">
        <v>260</v>
      </c>
      <c r="AS225" s="5"/>
      <c r="AT225" s="5"/>
      <c r="AU225" s="5"/>
    </row>
    <row r="227" spans="44:47" x14ac:dyDescent="0.3">
      <c r="AS227">
        <f>AVERAGE(Table1[Attendance %])</f>
        <v>81.7</v>
      </c>
    </row>
    <row r="229" spans="44:47" x14ac:dyDescent="0.3">
      <c r="AR229" s="5" t="s">
        <v>261</v>
      </c>
      <c r="AS229" s="5"/>
      <c r="AT229" s="5"/>
      <c r="AU229" s="5"/>
    </row>
    <row r="231" spans="44:47" x14ac:dyDescent="0.3">
      <c r="AS231">
        <f>STDEV(Table1[Final Score])</f>
        <v>18.996488245372234</v>
      </c>
    </row>
    <row r="234" spans="44:47" x14ac:dyDescent="0.3">
      <c r="AR234" s="5" t="s">
        <v>262</v>
      </c>
      <c r="AS234" s="5"/>
      <c r="AT234" s="5"/>
      <c r="AU234" s="5"/>
    </row>
    <row r="236" spans="44:47" x14ac:dyDescent="0.3">
      <c r="AR236" t="s">
        <v>25</v>
      </c>
      <c r="AS236">
        <f>COUNTIF(Table1[Gender],F97)</f>
        <v>49</v>
      </c>
    </row>
    <row r="239" spans="44:47" x14ac:dyDescent="0.3">
      <c r="AR239" t="s">
        <v>187</v>
      </c>
    </row>
    <row r="241" spans="44:46" x14ac:dyDescent="0.3">
      <c r="AR241" t="s">
        <v>187</v>
      </c>
      <c r="AS241" t="s">
        <v>187</v>
      </c>
      <c r="AT241" t="s">
        <v>187</v>
      </c>
    </row>
    <row r="242" spans="44:46" x14ac:dyDescent="0.3">
      <c r="AR242" t="s">
        <v>187</v>
      </c>
      <c r="AS242" t="s">
        <v>187</v>
      </c>
    </row>
    <row r="243" spans="44:46" x14ac:dyDescent="0.3">
      <c r="AR243" t="s">
        <v>187</v>
      </c>
      <c r="AS243" t="s">
        <v>187</v>
      </c>
    </row>
  </sheetData>
  <mergeCells count="29">
    <mergeCell ref="AP1:AT1"/>
    <mergeCell ref="AR177:AU177"/>
    <mergeCell ref="AR183:AU183"/>
    <mergeCell ref="AR189:AU189"/>
    <mergeCell ref="AR128:AU128"/>
    <mergeCell ref="AR140:AU140"/>
    <mergeCell ref="AR146:AU146"/>
    <mergeCell ref="AR156:AU156"/>
    <mergeCell ref="AR164:AU164"/>
    <mergeCell ref="AR170:AU170"/>
    <mergeCell ref="AR110:AV110"/>
    <mergeCell ref="AP5:AT5"/>
    <mergeCell ref="AP12:AT12"/>
    <mergeCell ref="AP18:AT18"/>
    <mergeCell ref="AP24:AT24"/>
    <mergeCell ref="AP29:AT29"/>
    <mergeCell ref="AP35:AT35"/>
    <mergeCell ref="AP49:AT49"/>
    <mergeCell ref="AP65:AT65"/>
    <mergeCell ref="AP77:AT77"/>
    <mergeCell ref="AP94:AT94"/>
    <mergeCell ref="AR225:AU225"/>
    <mergeCell ref="AR229:AU229"/>
    <mergeCell ref="AR234:AU234"/>
    <mergeCell ref="AR195:AU195"/>
    <mergeCell ref="AR202:AU202"/>
    <mergeCell ref="AR208:AU208"/>
    <mergeCell ref="AR213:AU213"/>
    <mergeCell ref="AR218:AU218"/>
  </mergeCells>
  <dataValidations count="3">
    <dataValidation type="list" allowBlank="1" showInputMessage="1" showErrorMessage="1" sqref="AP27 AR180 AR205" xr:uid="{23019CA9-9496-4A13-A3DA-A3B7A1F0116F}">
      <formula1>$A$2:$A$101</formula1>
    </dataValidation>
    <dataValidation type="list" allowBlank="1" showInputMessage="1" showErrorMessage="1" sqref="AP32 AR173 AR186 AR198 AR221" xr:uid="{B6F1FFB7-8A44-4CCA-A71D-5D1B67A8CA67}">
      <formula1>$B$2:$B$101</formula1>
    </dataValidation>
    <dataValidation type="list" allowBlank="1" showInputMessage="1" showErrorMessage="1" sqref="AR215" xr:uid="{E2ADF48F-8EAC-4813-A1F6-34AD76B1D4C3}">
      <formula1>$S$2:$S$101</formula1>
    </dataValidation>
  </dataValidations>
  <pageMargins left="0.7" right="0.7" top="0.75" bottom="0.75" header="0.3" footer="0.3"/>
  <pageSetup orientation="portrait" r:id="rId7"/>
  <drawing r:id="rId8"/>
  <legacyDrawing r:id="rId9"/>
  <tableParts count="1">
    <tablePart r:id="rId10"/>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94EEA-2B0E-4C0C-9AEE-4858D41643A1}">
  <dimension ref="A1"/>
  <sheetViews>
    <sheetView topLeftCell="A8" zoomScale="99" zoomScaleNormal="100" workbookViewId="0">
      <selection sqref="A1:XFD1048576"/>
    </sheetView>
  </sheetViews>
  <sheetFormatPr defaultRowHeight="14.4" x14ac:dyDescent="0.3"/>
  <cols>
    <col min="1" max="16384" width="8.88671875" style="6"/>
  </cols>
  <sheetData/>
  <mergeCells count="1">
    <mergeCell ref="A1:XFD104857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Student </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ganurathod8683@outlook.com</dc:creator>
  <cp:lastModifiedBy>ganurathod8683@outlook.com</cp:lastModifiedBy>
  <dcterms:created xsi:type="dcterms:W3CDTF">2026-09-21T10:25:58Z</dcterms:created>
  <dcterms:modified xsi:type="dcterms:W3CDTF">2026-09-24T08:34:35Z</dcterms:modified>
</cp:coreProperties>
</file>